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arget Groups" sheetId="3" state="visible" r:id="rId3"/>
    <sheet name="Scenario Builder" sheetId="4" state="visible" r:id="rId4"/>
    <sheet name="Monthly Phasing" sheetId="5" state="visible" r:id="rId5"/>
    <sheet name="Sensitivity" sheetId="6" state="visible" r:id="rId6"/>
  </sheets>
  <definedNames>
    <definedName name="_xlnm._FilterDatabase" localSheetId="3" hidden="1">'Scenario Builder'!$A$4:$W$49</definedName>
    <definedName name="_xlnm._FilterDatabase" localSheetId="4" hidden="1">'Monthly Phasing'!$A$4:$J$31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GBP&quot; #,##0.00"/>
    <numFmt numFmtId="166" formatCode="&quot;GBP&quot; #,##0"/>
  </numFmts>
  <fonts count="7">
    <font>
      <name val="Calibri"/>
      <family val="2"/>
      <color theme="1"/>
      <sz val="11"/>
      <scheme val="minor"/>
    </font>
    <font>
      <b val="1"/>
      <color rgb="001F2937"/>
      <sz val="18"/>
    </font>
    <font>
      <b val="1"/>
      <color rgb="001F2937"/>
      <sz val="13"/>
    </font>
    <font>
      <b val="1"/>
      <color rgb="001F2937"/>
    </font>
    <font>
      <b val="1"/>
      <color rgb="001F2937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DDEED5"/>
      </patternFill>
    </fill>
    <fill>
      <patternFill patternType="solid">
        <fgColor rgb="00E8EEF9"/>
      </patternFill>
    </fill>
    <fill>
      <patternFill patternType="solid">
        <fgColor rgb="005B7DB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2" borderId="1" applyAlignment="1" pivotButton="0" quotePrefix="0" xfId="0">
      <alignment vertical="top" wrapText="1"/>
    </xf>
    <xf numFmtId="165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vertical="top" wrapText="1"/>
    </xf>
    <xf numFmtId="3" fontId="0" fillId="2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5" fillId="6" borderId="1" applyAlignment="1" pivotButton="0" quotePrefix="0" xfId="0">
      <alignment horizontal="center"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Wagamama challenger promo sizing template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Purpose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Forecast the gross and net cost of a lapsed-customer challenger promo for Wagamama customers after multi-aggregator launch. The template is pre-loaded with the cumulative target groups provided in the brief and uses editable assumptions for reach, redemption, funding, AOV, commission, and incrementality.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3" t="inlineStr">
        <is>
          <t>How to use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1. Update blue cells in Inputs with the latest promo assumptions.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2. Update Target Groups if CRM sizing changes.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3. Use Scenario Builder to compare group size, voucher value, and low/base/high redemption cases.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4. Use Monthly Phasing to check whether each scenario fits the assumed monthly budget.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5. Use Sensitivity to stress-test one chosen audience and scenario across voucher values and redemption rates.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Colour key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4" t="inlineStr">
        <is>
          <t>Blue</t>
        </is>
      </c>
      <c r="B15" s="2" t="inlineStr">
        <is>
          <t>Editable input</t>
        </is>
      </c>
      <c r="C15" s="2" t="n"/>
      <c r="D15" s="2" t="n"/>
      <c r="E15" s="2" t="n"/>
      <c r="F15" s="2" t="n"/>
      <c r="G15" s="2" t="n"/>
      <c r="H15" s="2" t="n"/>
    </row>
    <row r="16">
      <c r="A16" s="5" t="inlineStr">
        <is>
          <t>Grey</t>
        </is>
      </c>
      <c r="B16" s="2" t="inlineStr">
        <is>
          <t>Formula output</t>
        </is>
      </c>
      <c r="C16" s="2" t="n"/>
      <c r="D16" s="2" t="n"/>
      <c r="E16" s="2" t="n"/>
      <c r="F16" s="2" t="n"/>
      <c r="G16" s="2" t="n"/>
      <c r="H16" s="2" t="n"/>
    </row>
    <row r="17">
      <c r="A17" s="6" t="inlineStr">
        <is>
          <t>Green</t>
        </is>
      </c>
      <c r="B17" s="2" t="inlineStr">
        <is>
          <t>Scenario or model guidance</t>
        </is>
      </c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Google Sheets setup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Option A: Upload this .xlsx to Google Drive, open with Google Sheets, then File &gt; Save as Google Sheets.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Option B: If you want an agent to create/update the native GSheet directly, enable a Google Sheets/Drive integration or provide a service-account/OAuth setup with spreadsheet and drive.file scopes, plus a destination folder or existing Sheet URL shared with that account.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inlineStr">
        <is>
          <t>Important caveats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Default redemption and incrementality values are placeholders for planning only.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Costs are modelled as promotional discount funding plus comms and fixed costs. Update Inputs if restaurant funding or other cost sharing applies.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Net cost after commission uses incremental orders only; if finance wants a different profitability lens, replace the contribution formula in Scenario Builder.</t>
        </is>
      </c>
      <c r="B28" s="2" t="n"/>
      <c r="C28" s="2" t="n"/>
      <c r="D28" s="2" t="n"/>
      <c r="E28" s="2" t="n"/>
      <c r="F28" s="2" t="n"/>
      <c r="G28" s="2" t="n"/>
      <c r="H28" s="2" t="n"/>
    </row>
  </sheetData>
  <mergeCells count="12">
    <mergeCell ref="A9:H9"/>
    <mergeCell ref="A4:H4"/>
    <mergeCell ref="A26:H26"/>
    <mergeCell ref="A21:H21"/>
    <mergeCell ref="A7:H7"/>
    <mergeCell ref="A10:H10"/>
    <mergeCell ref="A28:H28"/>
    <mergeCell ref="A11:H11"/>
    <mergeCell ref="A1:H1"/>
    <mergeCell ref="A27:H27"/>
    <mergeCell ref="A8:H8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  <col width="60" customWidth="1" min="4" max="4"/>
    <col width="56" customWidth="1" min="5" max="5"/>
  </cols>
  <sheetData>
    <row r="1">
      <c r="A1" s="1" t="inlineStr">
        <is>
          <t>Editable assumptions</t>
        </is>
      </c>
      <c r="B1" s="2" t="n"/>
      <c r="C1" s="2" t="n"/>
      <c r="D1" s="2" t="n"/>
      <c r="E1" s="2" t="n"/>
      <c r="F1" s="2" t="n"/>
    </row>
    <row r="2">
      <c r="A2" s="2" t="inlineStr">
        <is>
          <t>Only edit blue cells. Scenario Builder and other output tabs update from these assumptions.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Promo setup</t>
        </is>
      </c>
      <c r="B4" s="7" t="inlineStr"/>
      <c r="C4" s="7" t="inlineStr"/>
      <c r="D4" s="7" t="inlineStr"/>
      <c r="E4" s="2" t="n"/>
      <c r="F4" s="2" t="n"/>
    </row>
    <row r="5">
      <c r="A5" s="8" t="inlineStr">
        <is>
          <t>Promo length (months)</t>
        </is>
      </c>
      <c r="B5" s="9" t="n">
        <v>2</v>
      </c>
      <c r="C5" s="8" t="inlineStr">
        <is>
          <t>months</t>
        </is>
      </c>
      <c r="D5" s="8" t="inlineStr">
        <is>
          <t>Current thinking is a longer two-month challenger.</t>
        </is>
      </c>
      <c r="E5" s="2" t="n"/>
      <c r="F5" s="2" t="n"/>
    </row>
    <row r="6">
      <c r="A6" s="8" t="inlineStr">
        <is>
          <t>Monthly budget available</t>
        </is>
      </c>
      <c r="B6" s="10" t="n">
        <v>250000</v>
      </c>
      <c r="C6" s="8" t="inlineStr">
        <is>
          <t>GBP</t>
        </is>
      </c>
      <c r="D6" s="8" t="inlineStr">
        <is>
          <t>Brief indicated an indicative 250k/month budget.</t>
        </is>
      </c>
      <c r="E6" s="2" t="n"/>
      <c r="F6" s="2" t="n"/>
    </row>
    <row r="7">
      <c r="A7" s="8" t="inlineStr">
        <is>
          <t>Month 1 redemption weight</t>
        </is>
      </c>
      <c r="B7" s="11" t="n">
        <v>0.55</v>
      </c>
      <c r="C7" s="12" t="inlineStr">
        <is>
          <t>% of total</t>
        </is>
      </c>
      <c r="D7" s="12" t="inlineStr">
        <is>
          <t>Used by Monthly Phasing.</t>
        </is>
      </c>
      <c r="E7" s="2" t="n"/>
      <c r="F7" s="2" t="n"/>
    </row>
    <row r="8">
      <c r="A8" s="8" t="inlineStr">
        <is>
          <t>Month 2 redemption weight</t>
        </is>
      </c>
      <c r="B8" s="11" t="n">
        <v>0.45</v>
      </c>
      <c r="C8" s="12" t="inlineStr">
        <is>
          <t>% of total</t>
        </is>
      </c>
      <c r="D8" s="12" t="inlineStr">
        <is>
          <t>Used by Monthly Phasing.</t>
        </is>
      </c>
      <c r="E8" s="2" t="n"/>
      <c r="F8" s="2" t="n"/>
    </row>
    <row r="9">
      <c r="A9" s="8" t="inlineStr">
        <is>
          <t>Selected voucher value</t>
        </is>
      </c>
      <c r="B9" s="10" t="n">
        <v>7</v>
      </c>
      <c r="C9" s="8" t="inlineStr">
        <is>
          <t>GBP</t>
        </is>
      </c>
      <c r="D9" s="8" t="inlineStr">
        <is>
          <t>Primary mechanic for quick checks; scenario table also tests 5/7/10.</t>
        </is>
      </c>
      <c r="E9" s="2" t="n"/>
      <c r="F9" s="2" t="n"/>
    </row>
    <row r="10">
      <c r="A10" s="8" t="inlineStr">
        <is>
          <t>Max claims per redeemer</t>
        </is>
      </c>
      <c r="B10" s="9" t="n">
        <v>1</v>
      </c>
      <c r="C10" s="8" t="inlineStr">
        <is>
          <t>orders</t>
        </is>
      </c>
      <c r="D10" s="8" t="inlineStr">
        <is>
          <t>Set &gt;1 if the challenger allows multiple discounted orders.</t>
        </is>
      </c>
      <c r="E10" s="2" t="n"/>
      <c r="F10" s="2" t="n"/>
    </row>
    <row r="11">
      <c r="A11" s="8" t="inlineStr">
        <is>
          <t>Deliveroo funding share</t>
        </is>
      </c>
      <c r="B11" s="11" t="n">
        <v>1</v>
      </c>
      <c r="C11" s="12" t="inlineStr">
        <is>
          <t>%</t>
        </is>
      </c>
      <c r="D11" s="12" t="inlineStr">
        <is>
          <t>Share of discount cost paid by Deliveroo/Rx marketing.</t>
        </is>
      </c>
      <c r="E11" s="2" t="n"/>
      <c r="F11" s="2" t="n"/>
    </row>
    <row r="12">
      <c r="A12" s="8" t="inlineStr">
        <is>
          <t>Restaurant/partner funding share</t>
        </is>
      </c>
      <c r="B12" s="11" t="n">
        <v>0</v>
      </c>
      <c r="C12" s="12" t="inlineStr">
        <is>
          <t>%</t>
        </is>
      </c>
      <c r="D12" s="12" t="inlineStr">
        <is>
          <t>Information only unless finance wants to net this separately.</t>
        </is>
      </c>
      <c r="E12" s="2" t="n"/>
      <c r="F12" s="2" t="n"/>
    </row>
    <row r="13">
      <c r="A13" s="8" t="inlineStr">
        <is>
          <t>Comms cost per targeted customer</t>
        </is>
      </c>
      <c r="B13" s="10" t="n">
        <v>0.03</v>
      </c>
      <c r="C13" s="8" t="inlineStr">
        <is>
          <t>GBP</t>
        </is>
      </c>
      <c r="D13" s="8" t="inlineStr">
        <is>
          <t>CRM, push, email or paid audience activation cost.</t>
        </is>
      </c>
      <c r="E13" s="2" t="n"/>
      <c r="F13" s="2" t="n"/>
    </row>
    <row r="14">
      <c r="A14" s="8" t="inlineStr">
        <is>
          <t>Other fixed campaign costs</t>
        </is>
      </c>
      <c r="B14" s="10" t="n">
        <v>0</v>
      </c>
      <c r="C14" s="8" t="inlineStr">
        <is>
          <t>GBP</t>
        </is>
      </c>
      <c r="D14" s="8" t="inlineStr">
        <is>
          <t>Creative, tooling or agency costs.</t>
        </is>
      </c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7" t="inlineStr">
        <is>
          <t>Commercial assumptions</t>
        </is>
      </c>
      <c r="B16" s="7" t="inlineStr"/>
      <c r="C16" s="7" t="inlineStr"/>
      <c r="D16" s="7" t="inlineStr"/>
      <c r="E16" s="2" t="n"/>
      <c r="F16" s="2" t="n"/>
    </row>
    <row r="17">
      <c r="A17" s="8" t="inlineStr">
        <is>
          <t>Average order value</t>
        </is>
      </c>
      <c r="B17" s="10" t="n">
        <v>25</v>
      </c>
      <c r="C17" s="8" t="inlineStr">
        <is>
          <t>GBP</t>
        </is>
      </c>
      <c r="D17" s="8" t="inlineStr">
        <is>
          <t>Use Wagamama AOV for the relevant lapsed cohort if available.</t>
        </is>
      </c>
      <c r="E17" s="2" t="n"/>
      <c r="F17" s="2" t="n"/>
    </row>
    <row r="18">
      <c r="A18" s="8" t="inlineStr">
        <is>
          <t>Commission rate</t>
        </is>
      </c>
      <c r="B18" s="11" t="n">
        <v>0.3</v>
      </c>
      <c r="C18" s="12" t="inlineStr">
        <is>
          <t>% of AOV</t>
        </is>
      </c>
      <c r="D18" s="12" t="inlineStr">
        <is>
          <t>Use the new Wagamama commission rate.</t>
        </is>
      </c>
      <c r="E18" s="2" t="n"/>
      <c r="F18" s="2" t="n"/>
    </row>
    <row r="19">
      <c r="A19" s="8" t="inlineStr">
        <is>
          <t>Variable cost to serve per order</t>
        </is>
      </c>
      <c r="B19" s="10" t="n">
        <v>0</v>
      </c>
      <c r="C19" s="8" t="inlineStr">
        <is>
          <t>GBP</t>
        </is>
      </c>
      <c r="D19" s="8" t="inlineStr">
        <is>
          <t>Optional fulfilment/support variable cost per incremental order.</t>
        </is>
      </c>
      <c r="E19" s="2" t="n"/>
      <c r="F19" s="2" t="n"/>
    </row>
    <row r="20">
      <c r="A20" s="8" t="inlineStr">
        <is>
          <t>Baseline orders per reached customer</t>
        </is>
      </c>
      <c r="B20" s="9" t="n">
        <v>0.1</v>
      </c>
      <c r="C20" s="8" t="inlineStr">
        <is>
          <t>orders over promo period</t>
        </is>
      </c>
      <c r="D20" s="8" t="inlineStr">
        <is>
          <t>Used as a context metric, not in cost calculation.</t>
        </is>
      </c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13" t="inlineStr">
        <is>
          <t>Scenario assumptions</t>
        </is>
      </c>
      <c r="B23" s="2" t="n"/>
      <c r="C23" s="2" t="n"/>
      <c r="D23" s="2" t="n"/>
      <c r="E23" s="2" t="n"/>
      <c r="F23" s="2" t="n"/>
    </row>
    <row r="24">
      <c r="A24" s="14" t="inlineStr">
        <is>
          <t>Assumption</t>
        </is>
      </c>
      <c r="B24" s="14" t="inlineStr">
        <is>
          <t>Low</t>
        </is>
      </c>
      <c r="C24" s="14" t="inlineStr">
        <is>
          <t>Base</t>
        </is>
      </c>
      <c r="D24" s="14" t="inlineStr">
        <is>
          <t>High</t>
        </is>
      </c>
      <c r="E24" s="14" t="inlineStr">
        <is>
          <t>Notes</t>
        </is>
      </c>
      <c r="F24" s="2" t="n"/>
    </row>
    <row r="25">
      <c r="A25" s="8" t="inlineStr">
        <is>
          <t>Reachable rate</t>
        </is>
      </c>
      <c r="B25" s="11" t="n">
        <v>0.75</v>
      </c>
      <c r="C25" s="11" t="n">
        <v>0.85</v>
      </c>
      <c r="D25" s="11" t="n">
        <v>0.9</v>
      </c>
      <c r="E25" s="8" t="inlineStr">
        <is>
          <t>Share of targetable customers who can be reached during the campaign.</t>
        </is>
      </c>
      <c r="F25" s="2" t="n"/>
    </row>
    <row r="26">
      <c r="A26" s="8" t="inlineStr">
        <is>
          <t>Redemption / completion rate</t>
        </is>
      </c>
      <c r="B26" s="11" t="n">
        <v>0.08</v>
      </c>
      <c r="C26" s="11" t="n">
        <v>0.15</v>
      </c>
      <c r="D26" s="11" t="n">
        <v>0.25</v>
      </c>
      <c r="E26" s="8" t="inlineStr">
        <is>
          <t>Share of reached customers who redeem or complete the challenger.</t>
        </is>
      </c>
      <c r="F26" s="2" t="n"/>
    </row>
    <row r="27">
      <c r="A27" s="8" t="inlineStr">
        <is>
          <t>Avg claims per redeemer</t>
        </is>
      </c>
      <c r="B27" s="9" t="n">
        <v>1</v>
      </c>
      <c r="C27" s="9" t="n">
        <v>1</v>
      </c>
      <c r="D27" s="9" t="n">
        <v>1.1</v>
      </c>
      <c r="E27" s="8" t="inlineStr">
        <is>
          <t>Average discounted orders per redeemer.</t>
        </is>
      </c>
      <c r="F27" s="2" t="n"/>
    </row>
    <row r="28">
      <c r="A28" s="8" t="inlineStr">
        <is>
          <t>Incrementality</t>
        </is>
      </c>
      <c r="B28" s="11" t="n">
        <v>0.35</v>
      </c>
      <c r="C28" s="11" t="n">
        <v>0.5</v>
      </c>
      <c r="D28" s="11" t="n">
        <v>0.65</v>
      </c>
      <c r="E28" s="8" t="inlineStr">
        <is>
          <t>Share of promo orders assumed incremental vs baseline/pulled-forward orders.</t>
        </is>
      </c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13" t="inlineStr">
        <is>
          <t>Selected scenario controls</t>
        </is>
      </c>
      <c r="B31" s="2" t="n"/>
      <c r="C31" s="2" t="n"/>
      <c r="D31" s="2" t="n"/>
      <c r="E31" s="2" t="n"/>
      <c r="F31" s="2" t="n"/>
    </row>
    <row r="32">
      <c r="A32" s="2" t="inlineStr">
        <is>
          <t>Selected group for Sensitivity</t>
        </is>
      </c>
      <c r="B32" s="15" t="inlineStr">
        <is>
          <t>Medium</t>
        </is>
      </c>
      <c r="C32" s="2" t="n"/>
      <c r="D32" s="2" t="n"/>
      <c r="E32" s="2" t="n"/>
      <c r="F32" s="2" t="n"/>
    </row>
    <row r="33">
      <c r="A33" s="2" t="inlineStr">
        <is>
          <t>Selected scenario for Sensitivity</t>
        </is>
      </c>
      <c r="B33" s="15" t="inlineStr">
        <is>
          <t>Base</t>
        </is>
      </c>
      <c r="C33" s="2" t="n"/>
      <c r="D33" s="2" t="n"/>
      <c r="E33" s="2" t="n"/>
      <c r="F33" s="2" t="n"/>
    </row>
  </sheetData>
  <mergeCells count="1">
    <mergeCell ref="A2:F2"/>
  </mergeCells>
  <dataValidations count="3">
    <dataValidation sqref="B32" showDropDown="0" showInputMessage="0" showErrorMessage="0" allowBlank="0" type="list">
      <formula1>"Tightest,Tight,Medium,Broad,Widest"</formula1>
    </dataValidation>
    <dataValidation sqref="B33" showDropDown="0" showInputMessage="0" showErrorMessage="0" allowBlank="0" type="list">
      <formula1>"Low,Base,High"</formula1>
    </dataValidation>
    <dataValidation sqref="B9" showDropDown="0" showInputMessage="0" showErrorMessage="0" allowBlank="0" type="list">
      <formula1>"5,7,10"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22" customWidth="1" min="3" max="3"/>
    <col width="22" customWidth="1" min="4" max="4"/>
    <col width="18" customWidth="1" min="5" max="5"/>
    <col width="42" customWidth="1" min="6" max="6"/>
  </cols>
  <sheetData>
    <row r="1">
      <c r="A1" s="1" t="inlineStr">
        <is>
          <t>Cumulative target groups</t>
        </is>
      </c>
      <c r="B1" s="2" t="n"/>
      <c r="C1" s="2" t="n"/>
      <c r="D1" s="2" t="n"/>
      <c r="E1" s="2" t="n"/>
      <c r="F1" s="2" t="n"/>
    </row>
    <row r="2">
      <c r="A2" s="2" t="inlineStr">
        <is>
          <t>Customer counts are cumulative based on the Wagamama frequency-decline groups in the brief.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4" t="inlineStr">
        <is>
          <t>Group option</t>
        </is>
      </c>
      <c r="B4" s="14" t="inlineStr">
        <is>
          <t>Definition</t>
        </is>
      </c>
      <c r="C4" s="14" t="inlineStr">
        <is>
          <t>Cumulative customers</t>
        </is>
      </c>
      <c r="D4" s="14" t="inlineStr">
        <is>
          <t>Incremental customers</t>
        </is>
      </c>
      <c r="E4" s="14" t="inlineStr">
        <is>
          <t>Recommended?</t>
        </is>
      </c>
      <c r="F4" s="14" t="inlineStr">
        <is>
          <t>Notes</t>
        </is>
      </c>
    </row>
    <row r="5">
      <c r="A5" s="8" t="inlineStr">
        <is>
          <t>Tightest</t>
        </is>
      </c>
      <c r="B5" s="8" t="inlineStr">
        <is>
          <t>Habitual (3+ Wagamama orders) who fully lapsed</t>
        </is>
      </c>
      <c r="C5" s="16" t="n">
        <v>16209</v>
      </c>
      <c r="D5" s="17">
        <f>C5</f>
        <v/>
      </c>
      <c r="E5" s="8" t="inlineStr">
        <is>
          <t>No</t>
        </is>
      </c>
      <c r="F5" s="8" t="inlineStr">
        <is>
          <t>Smallest high-intent pool.</t>
        </is>
      </c>
    </row>
    <row r="6">
      <c r="A6" s="8" t="inlineStr">
        <is>
          <t>Tight</t>
        </is>
      </c>
      <c r="B6" s="8" t="inlineStr">
        <is>
          <t>Tightest + habitual (3+) with &gt;50% frequency decline</t>
        </is>
      </c>
      <c r="C6" s="16" t="n">
        <v>36746</v>
      </c>
      <c r="D6" s="17">
        <f>C6-C5</f>
        <v/>
      </c>
      <c r="E6" s="8" t="inlineStr">
        <is>
          <t>No</t>
        </is>
      </c>
      <c r="F6" s="8" t="inlineStr">
        <is>
          <t>Adds heavy decliners.</t>
        </is>
      </c>
    </row>
    <row r="7">
      <c r="A7" s="8" t="inlineStr">
        <is>
          <t>Medium</t>
        </is>
      </c>
      <c r="B7" s="8" t="inlineStr">
        <is>
          <t>Tight + 2-order customers who lapsed</t>
        </is>
      </c>
      <c r="C7" s="16" t="n">
        <v>70821</v>
      </c>
      <c r="D7" s="17">
        <f>C7-C6</f>
        <v/>
      </c>
      <c r="E7" s="18" t="inlineStr">
        <is>
          <t>Minimum</t>
        </is>
      </c>
      <c r="F7" s="8" t="inlineStr">
        <is>
          <t>Brief indicated target up to Medium as a minimum.</t>
        </is>
      </c>
    </row>
    <row r="8">
      <c r="A8" s="8" t="inlineStr">
        <is>
          <t>Broad</t>
        </is>
      </c>
      <c r="B8" s="8" t="inlineStr">
        <is>
          <t>Medium + habitual (3+) with 10-50% frequency decline</t>
        </is>
      </c>
      <c r="C8" s="16" t="n">
        <v>80431</v>
      </c>
      <c r="D8" s="17">
        <f>C8-C7</f>
        <v/>
      </c>
      <c r="E8" s="18" t="inlineStr">
        <is>
          <t>Size</t>
        </is>
      </c>
      <c r="F8" s="8" t="inlineStr">
        <is>
          <t>Marginal expansion from Medium.</t>
        </is>
      </c>
    </row>
    <row r="9">
      <c r="A9" s="8" t="inlineStr">
        <is>
          <t>Widest</t>
        </is>
      </c>
      <c r="B9" s="8" t="inlineStr">
        <is>
          <t>Broad + lighter / one-time decliners</t>
        </is>
      </c>
      <c r="C9" s="16" t="n">
        <v>266280</v>
      </c>
      <c r="D9" s="17">
        <f>C9-C8</f>
        <v/>
      </c>
      <c r="E9" s="18" t="inlineStr">
        <is>
          <t>Size</t>
        </is>
      </c>
      <c r="F9" s="8" t="inlineStr">
        <is>
          <t>Largest pool; likely lower intent and lower redemption quality.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1" customWidth="1" min="4" max="4"/>
    <col width="14" customWidth="1" min="5" max="5"/>
    <col width="17" customWidth="1" min="6" max="6"/>
    <col width="16" customWidth="1" min="7" max="7"/>
    <col width="13" customWidth="1" min="8" max="8"/>
    <col width="18" customWidth="1" min="9" max="9"/>
    <col width="18" customWidth="1" min="10" max="10"/>
    <col width="19" customWidth="1" min="11" max="11"/>
    <col width="22" customWidth="1" min="12" max="12"/>
    <col width="13" customWidth="1" min="13" max="13"/>
    <col width="17" customWidth="1" min="14" max="14"/>
    <col width="18" customWidth="1" min="15" max="15"/>
    <col width="24" customWidth="1" min="16" max="16"/>
    <col width="16" customWidth="1" min="17" max="17"/>
    <col width="14" customWidth="1" min="18" max="18"/>
    <col width="17" customWidth="1" min="19" max="19"/>
    <col width="28" customWidth="1" min="20" max="20"/>
    <col width="14" customWidth="1" min="21" max="21"/>
    <col width="24" customWidth="1" min="22" max="22"/>
    <col width="24" customWidth="1" min="23" max="23"/>
  </cols>
  <sheetData>
    <row r="1">
      <c r="A1" s="1" t="inlineStr">
        <is>
          <t>Scenario Builder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2" t="inlineStr">
        <is>
          <t>Compare cumulative audience groups, challenger voucher values, and low/base/high redemption assumptions.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4" t="inlineStr">
        <is>
          <t>Group</t>
        </is>
      </c>
      <c r="B4" s="14" t="inlineStr">
        <is>
          <t>Target customers</t>
        </is>
      </c>
      <c r="C4" s="14" t="inlineStr">
        <is>
          <t>Voucher value</t>
        </is>
      </c>
      <c r="D4" s="14" t="inlineStr">
        <is>
          <t>Scenario</t>
        </is>
      </c>
      <c r="E4" s="14" t="inlineStr">
        <is>
          <t>Reachable rate</t>
        </is>
      </c>
      <c r="F4" s="14" t="inlineStr">
        <is>
          <t>Reached customers</t>
        </is>
      </c>
      <c r="G4" s="14" t="inlineStr">
        <is>
          <t>Redemption rate</t>
        </is>
      </c>
      <c r="H4" s="14" t="inlineStr">
        <is>
          <t>Redeemers</t>
        </is>
      </c>
      <c r="I4" s="14" t="inlineStr">
        <is>
          <t>Avg claims / redeemer</t>
        </is>
      </c>
      <c r="J4" s="14" t="inlineStr">
        <is>
          <t>Promo orders / claims</t>
        </is>
      </c>
      <c r="K4" s="14" t="inlineStr">
        <is>
          <t>Gross discount cost</t>
        </is>
      </c>
      <c r="L4" s="14" t="inlineStr">
        <is>
          <t>Deliveroo funded discount</t>
        </is>
      </c>
      <c r="M4" s="14" t="inlineStr">
        <is>
          <t>Comms cost</t>
        </is>
      </c>
      <c r="N4" s="14" t="inlineStr">
        <is>
          <t>Total investment</t>
        </is>
      </c>
      <c r="O4" s="14" t="inlineStr">
        <is>
          <t>Monthly investment</t>
        </is>
      </c>
      <c r="P4" s="14" t="inlineStr">
        <is>
          <t>Monthly budget gap/(headroom)</t>
        </is>
      </c>
      <c r="Q4" s="14" t="inlineStr">
        <is>
          <t>Baseline orders</t>
        </is>
      </c>
      <c r="R4" s="14" t="inlineStr">
        <is>
          <t>Incrementality</t>
        </is>
      </c>
      <c r="S4" s="14" t="inlineStr">
        <is>
          <t>Incremental orders</t>
        </is>
      </c>
      <c r="T4" s="14" t="inlineStr">
        <is>
          <t>Estimated commission contribution</t>
        </is>
      </c>
      <c r="U4" s="14" t="inlineStr">
        <is>
          <t>Variable cost</t>
        </is>
      </c>
      <c r="V4" s="14" t="inlineStr">
        <is>
          <t>Net cost after contribution</t>
        </is>
      </c>
      <c r="W4" s="14" t="inlineStr">
        <is>
          <t>Cost per incremental order</t>
        </is>
      </c>
    </row>
    <row r="5">
      <c r="A5" s="8" t="inlineStr">
        <is>
          <t>Tightest</t>
        </is>
      </c>
      <c r="B5" s="17">
        <f>VLOOKUP(A5,'Target Groups'!$A$5:$C$9,3,FALSE)</f>
        <v/>
      </c>
      <c r="C5" s="19" t="n">
        <v>5</v>
      </c>
      <c r="D5" s="8" t="inlineStr">
        <is>
          <t>Low</t>
        </is>
      </c>
      <c r="E5" s="20">
        <f>INDEX(Inputs!$B$25:$D$25,1,MATCH($D5,Inputs!$B$24:$D$24,0))</f>
        <v/>
      </c>
      <c r="F5" s="17">
        <f>B5*E5</f>
        <v/>
      </c>
      <c r="G5" s="20">
        <f>INDEX(Inputs!$B$26:$D$26,1,MATCH($D5,Inputs!$B$24:$D$24,0))</f>
        <v/>
      </c>
      <c r="H5" s="17">
        <f>F5*G5</f>
        <v/>
      </c>
      <c r="I5" s="21">
        <f>INDEX(Inputs!$B$27:$D$27,1,MATCH($D5,Inputs!$B$24:$D$24,0))</f>
        <v/>
      </c>
      <c r="J5" s="17">
        <f>H5*I5</f>
        <v/>
      </c>
      <c r="K5" s="22">
        <f>J5*C5</f>
        <v/>
      </c>
      <c r="L5" s="22">
        <f>K5*Inputs!$B$11</f>
        <v/>
      </c>
      <c r="M5" s="22">
        <f>B5*Inputs!$B$13</f>
        <v/>
      </c>
      <c r="N5" s="22">
        <f>L5+M5+Inputs!$B$14</f>
        <v/>
      </c>
      <c r="O5" s="22">
        <f>N5/Inputs!$B$5</f>
        <v/>
      </c>
      <c r="P5" s="22">
        <f>Inputs!$B$6-O5</f>
        <v/>
      </c>
      <c r="Q5" s="17">
        <f>F5*Inputs!$B$20</f>
        <v/>
      </c>
      <c r="R5" s="20">
        <f>INDEX(Inputs!$B$28:$D$28,1,MATCH($D5,Inputs!$B$24:$D$24,0))</f>
        <v/>
      </c>
      <c r="S5" s="17">
        <f>J5*R5</f>
        <v/>
      </c>
      <c r="T5" s="22">
        <f>S5*Inputs!$B$17*Inputs!$B$18</f>
        <v/>
      </c>
      <c r="U5" s="22">
        <f>S5*Inputs!$B$19</f>
        <v/>
      </c>
      <c r="V5" s="22">
        <f>N5-T5+U5</f>
        <v/>
      </c>
      <c r="W5" s="22">
        <f>IFERROR(V5/S5,"")</f>
        <v/>
      </c>
    </row>
    <row r="6">
      <c r="A6" s="8" t="inlineStr">
        <is>
          <t>Tightest</t>
        </is>
      </c>
      <c r="B6" s="17">
        <f>VLOOKUP(A6,'Target Groups'!$A$5:$C$9,3,FALSE)</f>
        <v/>
      </c>
      <c r="C6" s="19" t="n">
        <v>5</v>
      </c>
      <c r="D6" s="8" t="inlineStr">
        <is>
          <t>Base</t>
        </is>
      </c>
      <c r="E6" s="20">
        <f>INDEX(Inputs!$B$25:$D$25,1,MATCH($D6,Inputs!$B$24:$D$24,0))</f>
        <v/>
      </c>
      <c r="F6" s="17">
        <f>B6*E6</f>
        <v/>
      </c>
      <c r="G6" s="20">
        <f>INDEX(Inputs!$B$26:$D$26,1,MATCH($D6,Inputs!$B$24:$D$24,0))</f>
        <v/>
      </c>
      <c r="H6" s="17">
        <f>F6*G6</f>
        <v/>
      </c>
      <c r="I6" s="21">
        <f>INDEX(Inputs!$B$27:$D$27,1,MATCH($D6,Inputs!$B$24:$D$24,0))</f>
        <v/>
      </c>
      <c r="J6" s="17">
        <f>H6*I6</f>
        <v/>
      </c>
      <c r="K6" s="22">
        <f>J6*C6</f>
        <v/>
      </c>
      <c r="L6" s="22">
        <f>K6*Inputs!$B$11</f>
        <v/>
      </c>
      <c r="M6" s="22">
        <f>B6*Inputs!$B$13</f>
        <v/>
      </c>
      <c r="N6" s="22">
        <f>L6+M6+Inputs!$B$14</f>
        <v/>
      </c>
      <c r="O6" s="22">
        <f>N6/Inputs!$B$5</f>
        <v/>
      </c>
      <c r="P6" s="22">
        <f>Inputs!$B$6-O6</f>
        <v/>
      </c>
      <c r="Q6" s="17">
        <f>F6*Inputs!$B$20</f>
        <v/>
      </c>
      <c r="R6" s="20">
        <f>INDEX(Inputs!$B$28:$D$28,1,MATCH($D6,Inputs!$B$24:$D$24,0))</f>
        <v/>
      </c>
      <c r="S6" s="17">
        <f>J6*R6</f>
        <v/>
      </c>
      <c r="T6" s="22">
        <f>S6*Inputs!$B$17*Inputs!$B$18</f>
        <v/>
      </c>
      <c r="U6" s="22">
        <f>S6*Inputs!$B$19</f>
        <v/>
      </c>
      <c r="V6" s="22">
        <f>N6-T6+U6</f>
        <v/>
      </c>
      <c r="W6" s="22">
        <f>IFERROR(V6/S6,"")</f>
        <v/>
      </c>
    </row>
    <row r="7">
      <c r="A7" s="8" t="inlineStr">
        <is>
          <t>Tightest</t>
        </is>
      </c>
      <c r="B7" s="17">
        <f>VLOOKUP(A7,'Target Groups'!$A$5:$C$9,3,FALSE)</f>
        <v/>
      </c>
      <c r="C7" s="19" t="n">
        <v>5</v>
      </c>
      <c r="D7" s="8" t="inlineStr">
        <is>
          <t>High</t>
        </is>
      </c>
      <c r="E7" s="20">
        <f>INDEX(Inputs!$B$25:$D$25,1,MATCH($D7,Inputs!$B$24:$D$24,0))</f>
        <v/>
      </c>
      <c r="F7" s="17">
        <f>B7*E7</f>
        <v/>
      </c>
      <c r="G7" s="20">
        <f>INDEX(Inputs!$B$26:$D$26,1,MATCH($D7,Inputs!$B$24:$D$24,0))</f>
        <v/>
      </c>
      <c r="H7" s="17">
        <f>F7*G7</f>
        <v/>
      </c>
      <c r="I7" s="21">
        <f>INDEX(Inputs!$B$27:$D$27,1,MATCH($D7,Inputs!$B$24:$D$24,0))</f>
        <v/>
      </c>
      <c r="J7" s="17">
        <f>H7*I7</f>
        <v/>
      </c>
      <c r="K7" s="22">
        <f>J7*C7</f>
        <v/>
      </c>
      <c r="L7" s="22">
        <f>K7*Inputs!$B$11</f>
        <v/>
      </c>
      <c r="M7" s="22">
        <f>B7*Inputs!$B$13</f>
        <v/>
      </c>
      <c r="N7" s="22">
        <f>L7+M7+Inputs!$B$14</f>
        <v/>
      </c>
      <c r="O7" s="22">
        <f>N7/Inputs!$B$5</f>
        <v/>
      </c>
      <c r="P7" s="22">
        <f>Inputs!$B$6-O7</f>
        <v/>
      </c>
      <c r="Q7" s="17">
        <f>F7*Inputs!$B$20</f>
        <v/>
      </c>
      <c r="R7" s="20">
        <f>INDEX(Inputs!$B$28:$D$28,1,MATCH($D7,Inputs!$B$24:$D$24,0))</f>
        <v/>
      </c>
      <c r="S7" s="17">
        <f>J7*R7</f>
        <v/>
      </c>
      <c r="T7" s="22">
        <f>S7*Inputs!$B$17*Inputs!$B$18</f>
        <v/>
      </c>
      <c r="U7" s="22">
        <f>S7*Inputs!$B$19</f>
        <v/>
      </c>
      <c r="V7" s="22">
        <f>N7-T7+U7</f>
        <v/>
      </c>
      <c r="W7" s="22">
        <f>IFERROR(V7/S7,"")</f>
        <v/>
      </c>
    </row>
    <row r="8">
      <c r="A8" s="8" t="inlineStr">
        <is>
          <t>Tightest</t>
        </is>
      </c>
      <c r="B8" s="17">
        <f>VLOOKUP(A8,'Target Groups'!$A$5:$C$9,3,FALSE)</f>
        <v/>
      </c>
      <c r="C8" s="19" t="n">
        <v>7</v>
      </c>
      <c r="D8" s="8" t="inlineStr">
        <is>
          <t>Low</t>
        </is>
      </c>
      <c r="E8" s="20">
        <f>INDEX(Inputs!$B$25:$D$25,1,MATCH($D8,Inputs!$B$24:$D$24,0))</f>
        <v/>
      </c>
      <c r="F8" s="17">
        <f>B8*E8</f>
        <v/>
      </c>
      <c r="G8" s="20">
        <f>INDEX(Inputs!$B$26:$D$26,1,MATCH($D8,Inputs!$B$24:$D$24,0))</f>
        <v/>
      </c>
      <c r="H8" s="17">
        <f>F8*G8</f>
        <v/>
      </c>
      <c r="I8" s="21">
        <f>INDEX(Inputs!$B$27:$D$27,1,MATCH($D8,Inputs!$B$24:$D$24,0))</f>
        <v/>
      </c>
      <c r="J8" s="17">
        <f>H8*I8</f>
        <v/>
      </c>
      <c r="K8" s="22">
        <f>J8*C8</f>
        <v/>
      </c>
      <c r="L8" s="22">
        <f>K8*Inputs!$B$11</f>
        <v/>
      </c>
      <c r="M8" s="22">
        <f>B8*Inputs!$B$13</f>
        <v/>
      </c>
      <c r="N8" s="22">
        <f>L8+M8+Inputs!$B$14</f>
        <v/>
      </c>
      <c r="O8" s="22">
        <f>N8/Inputs!$B$5</f>
        <v/>
      </c>
      <c r="P8" s="22">
        <f>Inputs!$B$6-O8</f>
        <v/>
      </c>
      <c r="Q8" s="17">
        <f>F8*Inputs!$B$20</f>
        <v/>
      </c>
      <c r="R8" s="20">
        <f>INDEX(Inputs!$B$28:$D$28,1,MATCH($D8,Inputs!$B$24:$D$24,0))</f>
        <v/>
      </c>
      <c r="S8" s="17">
        <f>J8*R8</f>
        <v/>
      </c>
      <c r="T8" s="22">
        <f>S8*Inputs!$B$17*Inputs!$B$18</f>
        <v/>
      </c>
      <c r="U8" s="22">
        <f>S8*Inputs!$B$19</f>
        <v/>
      </c>
      <c r="V8" s="22">
        <f>N8-T8+U8</f>
        <v/>
      </c>
      <c r="W8" s="22">
        <f>IFERROR(V8/S8,"")</f>
        <v/>
      </c>
    </row>
    <row r="9">
      <c r="A9" s="8" t="inlineStr">
        <is>
          <t>Tightest</t>
        </is>
      </c>
      <c r="B9" s="17">
        <f>VLOOKUP(A9,'Target Groups'!$A$5:$C$9,3,FALSE)</f>
        <v/>
      </c>
      <c r="C9" s="19" t="n">
        <v>7</v>
      </c>
      <c r="D9" s="8" t="inlineStr">
        <is>
          <t>Base</t>
        </is>
      </c>
      <c r="E9" s="20">
        <f>INDEX(Inputs!$B$25:$D$25,1,MATCH($D9,Inputs!$B$24:$D$24,0))</f>
        <v/>
      </c>
      <c r="F9" s="17">
        <f>B9*E9</f>
        <v/>
      </c>
      <c r="G9" s="20">
        <f>INDEX(Inputs!$B$26:$D$26,1,MATCH($D9,Inputs!$B$24:$D$24,0))</f>
        <v/>
      </c>
      <c r="H9" s="17">
        <f>F9*G9</f>
        <v/>
      </c>
      <c r="I9" s="21">
        <f>INDEX(Inputs!$B$27:$D$27,1,MATCH($D9,Inputs!$B$24:$D$24,0))</f>
        <v/>
      </c>
      <c r="J9" s="17">
        <f>H9*I9</f>
        <v/>
      </c>
      <c r="K9" s="22">
        <f>J9*C9</f>
        <v/>
      </c>
      <c r="L9" s="22">
        <f>K9*Inputs!$B$11</f>
        <v/>
      </c>
      <c r="M9" s="22">
        <f>B9*Inputs!$B$13</f>
        <v/>
      </c>
      <c r="N9" s="22">
        <f>L9+M9+Inputs!$B$14</f>
        <v/>
      </c>
      <c r="O9" s="22">
        <f>N9/Inputs!$B$5</f>
        <v/>
      </c>
      <c r="P9" s="22">
        <f>Inputs!$B$6-O9</f>
        <v/>
      </c>
      <c r="Q9" s="17">
        <f>F9*Inputs!$B$20</f>
        <v/>
      </c>
      <c r="R9" s="20">
        <f>INDEX(Inputs!$B$28:$D$28,1,MATCH($D9,Inputs!$B$24:$D$24,0))</f>
        <v/>
      </c>
      <c r="S9" s="17">
        <f>J9*R9</f>
        <v/>
      </c>
      <c r="T9" s="22">
        <f>S9*Inputs!$B$17*Inputs!$B$18</f>
        <v/>
      </c>
      <c r="U9" s="22">
        <f>S9*Inputs!$B$19</f>
        <v/>
      </c>
      <c r="V9" s="22">
        <f>N9-T9+U9</f>
        <v/>
      </c>
      <c r="W9" s="22">
        <f>IFERROR(V9/S9,"")</f>
        <v/>
      </c>
    </row>
    <row r="10">
      <c r="A10" s="8" t="inlineStr">
        <is>
          <t>Tightest</t>
        </is>
      </c>
      <c r="B10" s="17">
        <f>VLOOKUP(A10,'Target Groups'!$A$5:$C$9,3,FALSE)</f>
        <v/>
      </c>
      <c r="C10" s="19" t="n">
        <v>7</v>
      </c>
      <c r="D10" s="8" t="inlineStr">
        <is>
          <t>High</t>
        </is>
      </c>
      <c r="E10" s="20">
        <f>INDEX(Inputs!$B$25:$D$25,1,MATCH($D10,Inputs!$B$24:$D$24,0))</f>
        <v/>
      </c>
      <c r="F10" s="17">
        <f>B10*E10</f>
        <v/>
      </c>
      <c r="G10" s="20">
        <f>INDEX(Inputs!$B$26:$D$26,1,MATCH($D10,Inputs!$B$24:$D$24,0))</f>
        <v/>
      </c>
      <c r="H10" s="17">
        <f>F10*G10</f>
        <v/>
      </c>
      <c r="I10" s="21">
        <f>INDEX(Inputs!$B$27:$D$27,1,MATCH($D10,Inputs!$B$24:$D$24,0))</f>
        <v/>
      </c>
      <c r="J10" s="17">
        <f>H10*I10</f>
        <v/>
      </c>
      <c r="K10" s="22">
        <f>J10*C10</f>
        <v/>
      </c>
      <c r="L10" s="22">
        <f>K10*Inputs!$B$11</f>
        <v/>
      </c>
      <c r="M10" s="22">
        <f>B10*Inputs!$B$13</f>
        <v/>
      </c>
      <c r="N10" s="22">
        <f>L10+M10+Inputs!$B$14</f>
        <v/>
      </c>
      <c r="O10" s="22">
        <f>N10/Inputs!$B$5</f>
        <v/>
      </c>
      <c r="P10" s="22">
        <f>Inputs!$B$6-O10</f>
        <v/>
      </c>
      <c r="Q10" s="17">
        <f>F10*Inputs!$B$20</f>
        <v/>
      </c>
      <c r="R10" s="20">
        <f>INDEX(Inputs!$B$28:$D$28,1,MATCH($D10,Inputs!$B$24:$D$24,0))</f>
        <v/>
      </c>
      <c r="S10" s="17">
        <f>J10*R10</f>
        <v/>
      </c>
      <c r="T10" s="22">
        <f>S10*Inputs!$B$17*Inputs!$B$18</f>
        <v/>
      </c>
      <c r="U10" s="22">
        <f>S10*Inputs!$B$19</f>
        <v/>
      </c>
      <c r="V10" s="22">
        <f>N10-T10+U10</f>
        <v/>
      </c>
      <c r="W10" s="22">
        <f>IFERROR(V10/S10,"")</f>
        <v/>
      </c>
    </row>
    <row r="11">
      <c r="A11" s="8" t="inlineStr">
        <is>
          <t>Tightest</t>
        </is>
      </c>
      <c r="B11" s="17">
        <f>VLOOKUP(A11,'Target Groups'!$A$5:$C$9,3,FALSE)</f>
        <v/>
      </c>
      <c r="C11" s="19" t="n">
        <v>10</v>
      </c>
      <c r="D11" s="8" t="inlineStr">
        <is>
          <t>Low</t>
        </is>
      </c>
      <c r="E11" s="20">
        <f>INDEX(Inputs!$B$25:$D$25,1,MATCH($D11,Inputs!$B$24:$D$24,0))</f>
        <v/>
      </c>
      <c r="F11" s="17">
        <f>B11*E11</f>
        <v/>
      </c>
      <c r="G11" s="20">
        <f>INDEX(Inputs!$B$26:$D$26,1,MATCH($D11,Inputs!$B$24:$D$24,0))</f>
        <v/>
      </c>
      <c r="H11" s="17">
        <f>F11*G11</f>
        <v/>
      </c>
      <c r="I11" s="21">
        <f>INDEX(Inputs!$B$27:$D$27,1,MATCH($D11,Inputs!$B$24:$D$24,0))</f>
        <v/>
      </c>
      <c r="J11" s="17">
        <f>H11*I11</f>
        <v/>
      </c>
      <c r="K11" s="22">
        <f>J11*C11</f>
        <v/>
      </c>
      <c r="L11" s="22">
        <f>K11*Inputs!$B$11</f>
        <v/>
      </c>
      <c r="M11" s="22">
        <f>B11*Inputs!$B$13</f>
        <v/>
      </c>
      <c r="N11" s="22">
        <f>L11+M11+Inputs!$B$14</f>
        <v/>
      </c>
      <c r="O11" s="22">
        <f>N11/Inputs!$B$5</f>
        <v/>
      </c>
      <c r="P11" s="22">
        <f>Inputs!$B$6-O11</f>
        <v/>
      </c>
      <c r="Q11" s="17">
        <f>F11*Inputs!$B$20</f>
        <v/>
      </c>
      <c r="R11" s="20">
        <f>INDEX(Inputs!$B$28:$D$28,1,MATCH($D11,Inputs!$B$24:$D$24,0))</f>
        <v/>
      </c>
      <c r="S11" s="17">
        <f>J11*R11</f>
        <v/>
      </c>
      <c r="T11" s="22">
        <f>S11*Inputs!$B$17*Inputs!$B$18</f>
        <v/>
      </c>
      <c r="U11" s="22">
        <f>S11*Inputs!$B$19</f>
        <v/>
      </c>
      <c r="V11" s="22">
        <f>N11-T11+U11</f>
        <v/>
      </c>
      <c r="W11" s="22">
        <f>IFERROR(V11/S11,"")</f>
        <v/>
      </c>
    </row>
    <row r="12">
      <c r="A12" s="8" t="inlineStr">
        <is>
          <t>Tightest</t>
        </is>
      </c>
      <c r="B12" s="17">
        <f>VLOOKUP(A12,'Target Groups'!$A$5:$C$9,3,FALSE)</f>
        <v/>
      </c>
      <c r="C12" s="19" t="n">
        <v>10</v>
      </c>
      <c r="D12" s="8" t="inlineStr">
        <is>
          <t>Base</t>
        </is>
      </c>
      <c r="E12" s="20">
        <f>INDEX(Inputs!$B$25:$D$25,1,MATCH($D12,Inputs!$B$24:$D$24,0))</f>
        <v/>
      </c>
      <c r="F12" s="17">
        <f>B12*E12</f>
        <v/>
      </c>
      <c r="G12" s="20">
        <f>INDEX(Inputs!$B$26:$D$26,1,MATCH($D12,Inputs!$B$24:$D$24,0))</f>
        <v/>
      </c>
      <c r="H12" s="17">
        <f>F12*G12</f>
        <v/>
      </c>
      <c r="I12" s="21">
        <f>INDEX(Inputs!$B$27:$D$27,1,MATCH($D12,Inputs!$B$24:$D$24,0))</f>
        <v/>
      </c>
      <c r="J12" s="17">
        <f>H12*I12</f>
        <v/>
      </c>
      <c r="K12" s="22">
        <f>J12*C12</f>
        <v/>
      </c>
      <c r="L12" s="22">
        <f>K12*Inputs!$B$11</f>
        <v/>
      </c>
      <c r="M12" s="22">
        <f>B12*Inputs!$B$13</f>
        <v/>
      </c>
      <c r="N12" s="22">
        <f>L12+M12+Inputs!$B$14</f>
        <v/>
      </c>
      <c r="O12" s="22">
        <f>N12/Inputs!$B$5</f>
        <v/>
      </c>
      <c r="P12" s="22">
        <f>Inputs!$B$6-O12</f>
        <v/>
      </c>
      <c r="Q12" s="17">
        <f>F12*Inputs!$B$20</f>
        <v/>
      </c>
      <c r="R12" s="20">
        <f>INDEX(Inputs!$B$28:$D$28,1,MATCH($D12,Inputs!$B$24:$D$24,0))</f>
        <v/>
      </c>
      <c r="S12" s="17">
        <f>J12*R12</f>
        <v/>
      </c>
      <c r="T12" s="22">
        <f>S12*Inputs!$B$17*Inputs!$B$18</f>
        <v/>
      </c>
      <c r="U12" s="22">
        <f>S12*Inputs!$B$19</f>
        <v/>
      </c>
      <c r="V12" s="22">
        <f>N12-T12+U12</f>
        <v/>
      </c>
      <c r="W12" s="22">
        <f>IFERROR(V12/S12,"")</f>
        <v/>
      </c>
    </row>
    <row r="13">
      <c r="A13" s="8" t="inlineStr">
        <is>
          <t>Tightest</t>
        </is>
      </c>
      <c r="B13" s="17">
        <f>VLOOKUP(A13,'Target Groups'!$A$5:$C$9,3,FALSE)</f>
        <v/>
      </c>
      <c r="C13" s="19" t="n">
        <v>10</v>
      </c>
      <c r="D13" s="8" t="inlineStr">
        <is>
          <t>High</t>
        </is>
      </c>
      <c r="E13" s="20">
        <f>INDEX(Inputs!$B$25:$D$25,1,MATCH($D13,Inputs!$B$24:$D$24,0))</f>
        <v/>
      </c>
      <c r="F13" s="17">
        <f>B13*E13</f>
        <v/>
      </c>
      <c r="G13" s="20">
        <f>INDEX(Inputs!$B$26:$D$26,1,MATCH($D13,Inputs!$B$24:$D$24,0))</f>
        <v/>
      </c>
      <c r="H13" s="17">
        <f>F13*G13</f>
        <v/>
      </c>
      <c r="I13" s="21">
        <f>INDEX(Inputs!$B$27:$D$27,1,MATCH($D13,Inputs!$B$24:$D$24,0))</f>
        <v/>
      </c>
      <c r="J13" s="17">
        <f>H13*I13</f>
        <v/>
      </c>
      <c r="K13" s="22">
        <f>J13*C13</f>
        <v/>
      </c>
      <c r="L13" s="22">
        <f>K13*Inputs!$B$11</f>
        <v/>
      </c>
      <c r="M13" s="22">
        <f>B13*Inputs!$B$13</f>
        <v/>
      </c>
      <c r="N13" s="22">
        <f>L13+M13+Inputs!$B$14</f>
        <v/>
      </c>
      <c r="O13" s="22">
        <f>N13/Inputs!$B$5</f>
        <v/>
      </c>
      <c r="P13" s="22">
        <f>Inputs!$B$6-O13</f>
        <v/>
      </c>
      <c r="Q13" s="17">
        <f>F13*Inputs!$B$20</f>
        <v/>
      </c>
      <c r="R13" s="20">
        <f>INDEX(Inputs!$B$28:$D$28,1,MATCH($D13,Inputs!$B$24:$D$24,0))</f>
        <v/>
      </c>
      <c r="S13" s="17">
        <f>J13*R13</f>
        <v/>
      </c>
      <c r="T13" s="22">
        <f>S13*Inputs!$B$17*Inputs!$B$18</f>
        <v/>
      </c>
      <c r="U13" s="22">
        <f>S13*Inputs!$B$19</f>
        <v/>
      </c>
      <c r="V13" s="22">
        <f>N13-T13+U13</f>
        <v/>
      </c>
      <c r="W13" s="22">
        <f>IFERROR(V13/S13,"")</f>
        <v/>
      </c>
    </row>
    <row r="14">
      <c r="A14" s="8" t="inlineStr">
        <is>
          <t>Tight</t>
        </is>
      </c>
      <c r="B14" s="17">
        <f>VLOOKUP(A14,'Target Groups'!$A$5:$C$9,3,FALSE)</f>
        <v/>
      </c>
      <c r="C14" s="19" t="n">
        <v>5</v>
      </c>
      <c r="D14" s="8" t="inlineStr">
        <is>
          <t>Low</t>
        </is>
      </c>
      <c r="E14" s="20">
        <f>INDEX(Inputs!$B$25:$D$25,1,MATCH($D14,Inputs!$B$24:$D$24,0))</f>
        <v/>
      </c>
      <c r="F14" s="17">
        <f>B14*E14</f>
        <v/>
      </c>
      <c r="G14" s="20">
        <f>INDEX(Inputs!$B$26:$D$26,1,MATCH($D14,Inputs!$B$24:$D$24,0))</f>
        <v/>
      </c>
      <c r="H14" s="17">
        <f>F14*G14</f>
        <v/>
      </c>
      <c r="I14" s="21">
        <f>INDEX(Inputs!$B$27:$D$27,1,MATCH($D14,Inputs!$B$24:$D$24,0))</f>
        <v/>
      </c>
      <c r="J14" s="17">
        <f>H14*I14</f>
        <v/>
      </c>
      <c r="K14" s="22">
        <f>J14*C14</f>
        <v/>
      </c>
      <c r="L14" s="22">
        <f>K14*Inputs!$B$11</f>
        <v/>
      </c>
      <c r="M14" s="22">
        <f>B14*Inputs!$B$13</f>
        <v/>
      </c>
      <c r="N14" s="22">
        <f>L14+M14+Inputs!$B$14</f>
        <v/>
      </c>
      <c r="O14" s="22">
        <f>N14/Inputs!$B$5</f>
        <v/>
      </c>
      <c r="P14" s="22">
        <f>Inputs!$B$6-O14</f>
        <v/>
      </c>
      <c r="Q14" s="17">
        <f>F14*Inputs!$B$20</f>
        <v/>
      </c>
      <c r="R14" s="20">
        <f>INDEX(Inputs!$B$28:$D$28,1,MATCH($D14,Inputs!$B$24:$D$24,0))</f>
        <v/>
      </c>
      <c r="S14" s="17">
        <f>J14*R14</f>
        <v/>
      </c>
      <c r="T14" s="22">
        <f>S14*Inputs!$B$17*Inputs!$B$18</f>
        <v/>
      </c>
      <c r="U14" s="22">
        <f>S14*Inputs!$B$19</f>
        <v/>
      </c>
      <c r="V14" s="22">
        <f>N14-T14+U14</f>
        <v/>
      </c>
      <c r="W14" s="22">
        <f>IFERROR(V14/S14,"")</f>
        <v/>
      </c>
    </row>
    <row r="15">
      <c r="A15" s="8" t="inlineStr">
        <is>
          <t>Tight</t>
        </is>
      </c>
      <c r="B15" s="17">
        <f>VLOOKUP(A15,'Target Groups'!$A$5:$C$9,3,FALSE)</f>
        <v/>
      </c>
      <c r="C15" s="19" t="n">
        <v>5</v>
      </c>
      <c r="D15" s="8" t="inlineStr">
        <is>
          <t>Base</t>
        </is>
      </c>
      <c r="E15" s="20">
        <f>INDEX(Inputs!$B$25:$D$25,1,MATCH($D15,Inputs!$B$24:$D$24,0))</f>
        <v/>
      </c>
      <c r="F15" s="17">
        <f>B15*E15</f>
        <v/>
      </c>
      <c r="G15" s="20">
        <f>INDEX(Inputs!$B$26:$D$26,1,MATCH($D15,Inputs!$B$24:$D$24,0))</f>
        <v/>
      </c>
      <c r="H15" s="17">
        <f>F15*G15</f>
        <v/>
      </c>
      <c r="I15" s="21">
        <f>INDEX(Inputs!$B$27:$D$27,1,MATCH($D15,Inputs!$B$24:$D$24,0))</f>
        <v/>
      </c>
      <c r="J15" s="17">
        <f>H15*I15</f>
        <v/>
      </c>
      <c r="K15" s="22">
        <f>J15*C15</f>
        <v/>
      </c>
      <c r="L15" s="22">
        <f>K15*Inputs!$B$11</f>
        <v/>
      </c>
      <c r="M15" s="22">
        <f>B15*Inputs!$B$13</f>
        <v/>
      </c>
      <c r="N15" s="22">
        <f>L15+M15+Inputs!$B$14</f>
        <v/>
      </c>
      <c r="O15" s="22">
        <f>N15/Inputs!$B$5</f>
        <v/>
      </c>
      <c r="P15" s="22">
        <f>Inputs!$B$6-O15</f>
        <v/>
      </c>
      <c r="Q15" s="17">
        <f>F15*Inputs!$B$20</f>
        <v/>
      </c>
      <c r="R15" s="20">
        <f>INDEX(Inputs!$B$28:$D$28,1,MATCH($D15,Inputs!$B$24:$D$24,0))</f>
        <v/>
      </c>
      <c r="S15" s="17">
        <f>J15*R15</f>
        <v/>
      </c>
      <c r="T15" s="22">
        <f>S15*Inputs!$B$17*Inputs!$B$18</f>
        <v/>
      </c>
      <c r="U15" s="22">
        <f>S15*Inputs!$B$19</f>
        <v/>
      </c>
      <c r="V15" s="22">
        <f>N15-T15+U15</f>
        <v/>
      </c>
      <c r="W15" s="22">
        <f>IFERROR(V15/S15,"")</f>
        <v/>
      </c>
    </row>
    <row r="16">
      <c r="A16" s="8" t="inlineStr">
        <is>
          <t>Tight</t>
        </is>
      </c>
      <c r="B16" s="17">
        <f>VLOOKUP(A16,'Target Groups'!$A$5:$C$9,3,FALSE)</f>
        <v/>
      </c>
      <c r="C16" s="19" t="n">
        <v>5</v>
      </c>
      <c r="D16" s="8" t="inlineStr">
        <is>
          <t>High</t>
        </is>
      </c>
      <c r="E16" s="20">
        <f>INDEX(Inputs!$B$25:$D$25,1,MATCH($D16,Inputs!$B$24:$D$24,0))</f>
        <v/>
      </c>
      <c r="F16" s="17">
        <f>B16*E16</f>
        <v/>
      </c>
      <c r="G16" s="20">
        <f>INDEX(Inputs!$B$26:$D$26,1,MATCH($D16,Inputs!$B$24:$D$24,0))</f>
        <v/>
      </c>
      <c r="H16" s="17">
        <f>F16*G16</f>
        <v/>
      </c>
      <c r="I16" s="21">
        <f>INDEX(Inputs!$B$27:$D$27,1,MATCH($D16,Inputs!$B$24:$D$24,0))</f>
        <v/>
      </c>
      <c r="J16" s="17">
        <f>H16*I16</f>
        <v/>
      </c>
      <c r="K16" s="22">
        <f>J16*C16</f>
        <v/>
      </c>
      <c r="L16" s="22">
        <f>K16*Inputs!$B$11</f>
        <v/>
      </c>
      <c r="M16" s="22">
        <f>B16*Inputs!$B$13</f>
        <v/>
      </c>
      <c r="N16" s="22">
        <f>L16+M16+Inputs!$B$14</f>
        <v/>
      </c>
      <c r="O16" s="22">
        <f>N16/Inputs!$B$5</f>
        <v/>
      </c>
      <c r="P16" s="22">
        <f>Inputs!$B$6-O16</f>
        <v/>
      </c>
      <c r="Q16" s="17">
        <f>F16*Inputs!$B$20</f>
        <v/>
      </c>
      <c r="R16" s="20">
        <f>INDEX(Inputs!$B$28:$D$28,1,MATCH($D16,Inputs!$B$24:$D$24,0))</f>
        <v/>
      </c>
      <c r="S16" s="17">
        <f>J16*R16</f>
        <v/>
      </c>
      <c r="T16" s="22">
        <f>S16*Inputs!$B$17*Inputs!$B$18</f>
        <v/>
      </c>
      <c r="U16" s="22">
        <f>S16*Inputs!$B$19</f>
        <v/>
      </c>
      <c r="V16" s="22">
        <f>N16-T16+U16</f>
        <v/>
      </c>
      <c r="W16" s="22">
        <f>IFERROR(V16/S16,"")</f>
        <v/>
      </c>
    </row>
    <row r="17">
      <c r="A17" s="8" t="inlineStr">
        <is>
          <t>Tight</t>
        </is>
      </c>
      <c r="B17" s="17">
        <f>VLOOKUP(A17,'Target Groups'!$A$5:$C$9,3,FALSE)</f>
        <v/>
      </c>
      <c r="C17" s="19" t="n">
        <v>7</v>
      </c>
      <c r="D17" s="8" t="inlineStr">
        <is>
          <t>Low</t>
        </is>
      </c>
      <c r="E17" s="20">
        <f>INDEX(Inputs!$B$25:$D$25,1,MATCH($D17,Inputs!$B$24:$D$24,0))</f>
        <v/>
      </c>
      <c r="F17" s="17">
        <f>B17*E17</f>
        <v/>
      </c>
      <c r="G17" s="20">
        <f>INDEX(Inputs!$B$26:$D$26,1,MATCH($D17,Inputs!$B$24:$D$24,0))</f>
        <v/>
      </c>
      <c r="H17" s="17">
        <f>F17*G17</f>
        <v/>
      </c>
      <c r="I17" s="21">
        <f>INDEX(Inputs!$B$27:$D$27,1,MATCH($D17,Inputs!$B$24:$D$24,0))</f>
        <v/>
      </c>
      <c r="J17" s="17">
        <f>H17*I17</f>
        <v/>
      </c>
      <c r="K17" s="22">
        <f>J17*C17</f>
        <v/>
      </c>
      <c r="L17" s="22">
        <f>K17*Inputs!$B$11</f>
        <v/>
      </c>
      <c r="M17" s="22">
        <f>B17*Inputs!$B$13</f>
        <v/>
      </c>
      <c r="N17" s="22">
        <f>L17+M17+Inputs!$B$14</f>
        <v/>
      </c>
      <c r="O17" s="22">
        <f>N17/Inputs!$B$5</f>
        <v/>
      </c>
      <c r="P17" s="22">
        <f>Inputs!$B$6-O17</f>
        <v/>
      </c>
      <c r="Q17" s="17">
        <f>F17*Inputs!$B$20</f>
        <v/>
      </c>
      <c r="R17" s="20">
        <f>INDEX(Inputs!$B$28:$D$28,1,MATCH($D17,Inputs!$B$24:$D$24,0))</f>
        <v/>
      </c>
      <c r="S17" s="17">
        <f>J17*R17</f>
        <v/>
      </c>
      <c r="T17" s="22">
        <f>S17*Inputs!$B$17*Inputs!$B$18</f>
        <v/>
      </c>
      <c r="U17" s="22">
        <f>S17*Inputs!$B$19</f>
        <v/>
      </c>
      <c r="V17" s="22">
        <f>N17-T17+U17</f>
        <v/>
      </c>
      <c r="W17" s="22">
        <f>IFERROR(V17/S17,"")</f>
        <v/>
      </c>
    </row>
    <row r="18">
      <c r="A18" s="8" t="inlineStr">
        <is>
          <t>Tight</t>
        </is>
      </c>
      <c r="B18" s="17">
        <f>VLOOKUP(A18,'Target Groups'!$A$5:$C$9,3,FALSE)</f>
        <v/>
      </c>
      <c r="C18" s="19" t="n">
        <v>7</v>
      </c>
      <c r="D18" s="8" t="inlineStr">
        <is>
          <t>Base</t>
        </is>
      </c>
      <c r="E18" s="20">
        <f>INDEX(Inputs!$B$25:$D$25,1,MATCH($D18,Inputs!$B$24:$D$24,0))</f>
        <v/>
      </c>
      <c r="F18" s="17">
        <f>B18*E18</f>
        <v/>
      </c>
      <c r="G18" s="20">
        <f>INDEX(Inputs!$B$26:$D$26,1,MATCH($D18,Inputs!$B$24:$D$24,0))</f>
        <v/>
      </c>
      <c r="H18" s="17">
        <f>F18*G18</f>
        <v/>
      </c>
      <c r="I18" s="21">
        <f>INDEX(Inputs!$B$27:$D$27,1,MATCH($D18,Inputs!$B$24:$D$24,0))</f>
        <v/>
      </c>
      <c r="J18" s="17">
        <f>H18*I18</f>
        <v/>
      </c>
      <c r="K18" s="22">
        <f>J18*C18</f>
        <v/>
      </c>
      <c r="L18" s="22">
        <f>K18*Inputs!$B$11</f>
        <v/>
      </c>
      <c r="M18" s="22">
        <f>B18*Inputs!$B$13</f>
        <v/>
      </c>
      <c r="N18" s="22">
        <f>L18+M18+Inputs!$B$14</f>
        <v/>
      </c>
      <c r="O18" s="22">
        <f>N18/Inputs!$B$5</f>
        <v/>
      </c>
      <c r="P18" s="22">
        <f>Inputs!$B$6-O18</f>
        <v/>
      </c>
      <c r="Q18" s="17">
        <f>F18*Inputs!$B$20</f>
        <v/>
      </c>
      <c r="R18" s="20">
        <f>INDEX(Inputs!$B$28:$D$28,1,MATCH($D18,Inputs!$B$24:$D$24,0))</f>
        <v/>
      </c>
      <c r="S18" s="17">
        <f>J18*R18</f>
        <v/>
      </c>
      <c r="T18" s="22">
        <f>S18*Inputs!$B$17*Inputs!$B$18</f>
        <v/>
      </c>
      <c r="U18" s="22">
        <f>S18*Inputs!$B$19</f>
        <v/>
      </c>
      <c r="V18" s="22">
        <f>N18-T18+U18</f>
        <v/>
      </c>
      <c r="W18" s="22">
        <f>IFERROR(V18/S18,"")</f>
        <v/>
      </c>
    </row>
    <row r="19">
      <c r="A19" s="8" t="inlineStr">
        <is>
          <t>Tight</t>
        </is>
      </c>
      <c r="B19" s="17">
        <f>VLOOKUP(A19,'Target Groups'!$A$5:$C$9,3,FALSE)</f>
        <v/>
      </c>
      <c r="C19" s="19" t="n">
        <v>7</v>
      </c>
      <c r="D19" s="8" t="inlineStr">
        <is>
          <t>High</t>
        </is>
      </c>
      <c r="E19" s="20">
        <f>INDEX(Inputs!$B$25:$D$25,1,MATCH($D19,Inputs!$B$24:$D$24,0))</f>
        <v/>
      </c>
      <c r="F19" s="17">
        <f>B19*E19</f>
        <v/>
      </c>
      <c r="G19" s="20">
        <f>INDEX(Inputs!$B$26:$D$26,1,MATCH($D19,Inputs!$B$24:$D$24,0))</f>
        <v/>
      </c>
      <c r="H19" s="17">
        <f>F19*G19</f>
        <v/>
      </c>
      <c r="I19" s="21">
        <f>INDEX(Inputs!$B$27:$D$27,1,MATCH($D19,Inputs!$B$24:$D$24,0))</f>
        <v/>
      </c>
      <c r="J19" s="17">
        <f>H19*I19</f>
        <v/>
      </c>
      <c r="K19" s="22">
        <f>J19*C19</f>
        <v/>
      </c>
      <c r="L19" s="22">
        <f>K19*Inputs!$B$11</f>
        <v/>
      </c>
      <c r="M19" s="22">
        <f>B19*Inputs!$B$13</f>
        <v/>
      </c>
      <c r="N19" s="22">
        <f>L19+M19+Inputs!$B$14</f>
        <v/>
      </c>
      <c r="O19" s="22">
        <f>N19/Inputs!$B$5</f>
        <v/>
      </c>
      <c r="P19" s="22">
        <f>Inputs!$B$6-O19</f>
        <v/>
      </c>
      <c r="Q19" s="17">
        <f>F19*Inputs!$B$20</f>
        <v/>
      </c>
      <c r="R19" s="20">
        <f>INDEX(Inputs!$B$28:$D$28,1,MATCH($D19,Inputs!$B$24:$D$24,0))</f>
        <v/>
      </c>
      <c r="S19" s="17">
        <f>J19*R19</f>
        <v/>
      </c>
      <c r="T19" s="22">
        <f>S19*Inputs!$B$17*Inputs!$B$18</f>
        <v/>
      </c>
      <c r="U19" s="22">
        <f>S19*Inputs!$B$19</f>
        <v/>
      </c>
      <c r="V19" s="22">
        <f>N19-T19+U19</f>
        <v/>
      </c>
      <c r="W19" s="22">
        <f>IFERROR(V19/S19,"")</f>
        <v/>
      </c>
    </row>
    <row r="20">
      <c r="A20" s="8" t="inlineStr">
        <is>
          <t>Tight</t>
        </is>
      </c>
      <c r="B20" s="17">
        <f>VLOOKUP(A20,'Target Groups'!$A$5:$C$9,3,FALSE)</f>
        <v/>
      </c>
      <c r="C20" s="19" t="n">
        <v>10</v>
      </c>
      <c r="D20" s="8" t="inlineStr">
        <is>
          <t>Low</t>
        </is>
      </c>
      <c r="E20" s="20">
        <f>INDEX(Inputs!$B$25:$D$25,1,MATCH($D20,Inputs!$B$24:$D$24,0))</f>
        <v/>
      </c>
      <c r="F20" s="17">
        <f>B20*E20</f>
        <v/>
      </c>
      <c r="G20" s="20">
        <f>INDEX(Inputs!$B$26:$D$26,1,MATCH($D20,Inputs!$B$24:$D$24,0))</f>
        <v/>
      </c>
      <c r="H20" s="17">
        <f>F20*G20</f>
        <v/>
      </c>
      <c r="I20" s="21">
        <f>INDEX(Inputs!$B$27:$D$27,1,MATCH($D20,Inputs!$B$24:$D$24,0))</f>
        <v/>
      </c>
      <c r="J20" s="17">
        <f>H20*I20</f>
        <v/>
      </c>
      <c r="K20" s="22">
        <f>J20*C20</f>
        <v/>
      </c>
      <c r="L20" s="22">
        <f>K20*Inputs!$B$11</f>
        <v/>
      </c>
      <c r="M20" s="22">
        <f>B20*Inputs!$B$13</f>
        <v/>
      </c>
      <c r="N20" s="22">
        <f>L20+M20+Inputs!$B$14</f>
        <v/>
      </c>
      <c r="O20" s="22">
        <f>N20/Inputs!$B$5</f>
        <v/>
      </c>
      <c r="P20" s="22">
        <f>Inputs!$B$6-O20</f>
        <v/>
      </c>
      <c r="Q20" s="17">
        <f>F20*Inputs!$B$20</f>
        <v/>
      </c>
      <c r="R20" s="20">
        <f>INDEX(Inputs!$B$28:$D$28,1,MATCH($D20,Inputs!$B$24:$D$24,0))</f>
        <v/>
      </c>
      <c r="S20" s="17">
        <f>J20*R20</f>
        <v/>
      </c>
      <c r="T20" s="22">
        <f>S20*Inputs!$B$17*Inputs!$B$18</f>
        <v/>
      </c>
      <c r="U20" s="22">
        <f>S20*Inputs!$B$19</f>
        <v/>
      </c>
      <c r="V20" s="22">
        <f>N20-T20+U20</f>
        <v/>
      </c>
      <c r="W20" s="22">
        <f>IFERROR(V20/S20,"")</f>
        <v/>
      </c>
    </row>
    <row r="21">
      <c r="A21" s="8" t="inlineStr">
        <is>
          <t>Tight</t>
        </is>
      </c>
      <c r="B21" s="17">
        <f>VLOOKUP(A21,'Target Groups'!$A$5:$C$9,3,FALSE)</f>
        <v/>
      </c>
      <c r="C21" s="19" t="n">
        <v>10</v>
      </c>
      <c r="D21" s="8" t="inlineStr">
        <is>
          <t>Base</t>
        </is>
      </c>
      <c r="E21" s="20">
        <f>INDEX(Inputs!$B$25:$D$25,1,MATCH($D21,Inputs!$B$24:$D$24,0))</f>
        <v/>
      </c>
      <c r="F21" s="17">
        <f>B21*E21</f>
        <v/>
      </c>
      <c r="G21" s="20">
        <f>INDEX(Inputs!$B$26:$D$26,1,MATCH($D21,Inputs!$B$24:$D$24,0))</f>
        <v/>
      </c>
      <c r="H21" s="17">
        <f>F21*G21</f>
        <v/>
      </c>
      <c r="I21" s="21">
        <f>INDEX(Inputs!$B$27:$D$27,1,MATCH($D21,Inputs!$B$24:$D$24,0))</f>
        <v/>
      </c>
      <c r="J21" s="17">
        <f>H21*I21</f>
        <v/>
      </c>
      <c r="K21" s="22">
        <f>J21*C21</f>
        <v/>
      </c>
      <c r="L21" s="22">
        <f>K21*Inputs!$B$11</f>
        <v/>
      </c>
      <c r="M21" s="22">
        <f>B21*Inputs!$B$13</f>
        <v/>
      </c>
      <c r="N21" s="22">
        <f>L21+M21+Inputs!$B$14</f>
        <v/>
      </c>
      <c r="O21" s="22">
        <f>N21/Inputs!$B$5</f>
        <v/>
      </c>
      <c r="P21" s="22">
        <f>Inputs!$B$6-O21</f>
        <v/>
      </c>
      <c r="Q21" s="17">
        <f>F21*Inputs!$B$20</f>
        <v/>
      </c>
      <c r="R21" s="20">
        <f>INDEX(Inputs!$B$28:$D$28,1,MATCH($D21,Inputs!$B$24:$D$24,0))</f>
        <v/>
      </c>
      <c r="S21" s="17">
        <f>J21*R21</f>
        <v/>
      </c>
      <c r="T21" s="22">
        <f>S21*Inputs!$B$17*Inputs!$B$18</f>
        <v/>
      </c>
      <c r="U21" s="22">
        <f>S21*Inputs!$B$19</f>
        <v/>
      </c>
      <c r="V21" s="22">
        <f>N21-T21+U21</f>
        <v/>
      </c>
      <c r="W21" s="22">
        <f>IFERROR(V21/S21,"")</f>
        <v/>
      </c>
    </row>
    <row r="22">
      <c r="A22" s="8" t="inlineStr">
        <is>
          <t>Tight</t>
        </is>
      </c>
      <c r="B22" s="17">
        <f>VLOOKUP(A22,'Target Groups'!$A$5:$C$9,3,FALSE)</f>
        <v/>
      </c>
      <c r="C22" s="19" t="n">
        <v>10</v>
      </c>
      <c r="D22" s="8" t="inlineStr">
        <is>
          <t>High</t>
        </is>
      </c>
      <c r="E22" s="20">
        <f>INDEX(Inputs!$B$25:$D$25,1,MATCH($D22,Inputs!$B$24:$D$24,0))</f>
        <v/>
      </c>
      <c r="F22" s="17">
        <f>B22*E22</f>
        <v/>
      </c>
      <c r="G22" s="20">
        <f>INDEX(Inputs!$B$26:$D$26,1,MATCH($D22,Inputs!$B$24:$D$24,0))</f>
        <v/>
      </c>
      <c r="H22" s="17">
        <f>F22*G22</f>
        <v/>
      </c>
      <c r="I22" s="21">
        <f>INDEX(Inputs!$B$27:$D$27,1,MATCH($D22,Inputs!$B$24:$D$24,0))</f>
        <v/>
      </c>
      <c r="J22" s="17">
        <f>H22*I22</f>
        <v/>
      </c>
      <c r="K22" s="22">
        <f>J22*C22</f>
        <v/>
      </c>
      <c r="L22" s="22">
        <f>K22*Inputs!$B$11</f>
        <v/>
      </c>
      <c r="M22" s="22">
        <f>B22*Inputs!$B$13</f>
        <v/>
      </c>
      <c r="N22" s="22">
        <f>L22+M22+Inputs!$B$14</f>
        <v/>
      </c>
      <c r="O22" s="22">
        <f>N22/Inputs!$B$5</f>
        <v/>
      </c>
      <c r="P22" s="22">
        <f>Inputs!$B$6-O22</f>
        <v/>
      </c>
      <c r="Q22" s="17">
        <f>F22*Inputs!$B$20</f>
        <v/>
      </c>
      <c r="R22" s="20">
        <f>INDEX(Inputs!$B$28:$D$28,1,MATCH($D22,Inputs!$B$24:$D$24,0))</f>
        <v/>
      </c>
      <c r="S22" s="17">
        <f>J22*R22</f>
        <v/>
      </c>
      <c r="T22" s="22">
        <f>S22*Inputs!$B$17*Inputs!$B$18</f>
        <v/>
      </c>
      <c r="U22" s="22">
        <f>S22*Inputs!$B$19</f>
        <v/>
      </c>
      <c r="V22" s="22">
        <f>N22-T22+U22</f>
        <v/>
      </c>
      <c r="W22" s="22">
        <f>IFERROR(V22/S22,"")</f>
        <v/>
      </c>
    </row>
    <row r="23">
      <c r="A23" s="8" t="inlineStr">
        <is>
          <t>Medium</t>
        </is>
      </c>
      <c r="B23" s="17">
        <f>VLOOKUP(A23,'Target Groups'!$A$5:$C$9,3,FALSE)</f>
        <v/>
      </c>
      <c r="C23" s="19" t="n">
        <v>5</v>
      </c>
      <c r="D23" s="8" t="inlineStr">
        <is>
          <t>Low</t>
        </is>
      </c>
      <c r="E23" s="20">
        <f>INDEX(Inputs!$B$25:$D$25,1,MATCH($D23,Inputs!$B$24:$D$24,0))</f>
        <v/>
      </c>
      <c r="F23" s="17">
        <f>B23*E23</f>
        <v/>
      </c>
      <c r="G23" s="20">
        <f>INDEX(Inputs!$B$26:$D$26,1,MATCH($D23,Inputs!$B$24:$D$24,0))</f>
        <v/>
      </c>
      <c r="H23" s="17">
        <f>F23*G23</f>
        <v/>
      </c>
      <c r="I23" s="21">
        <f>INDEX(Inputs!$B$27:$D$27,1,MATCH($D23,Inputs!$B$24:$D$24,0))</f>
        <v/>
      </c>
      <c r="J23" s="17">
        <f>H23*I23</f>
        <v/>
      </c>
      <c r="K23" s="22">
        <f>J23*C23</f>
        <v/>
      </c>
      <c r="L23" s="22">
        <f>K23*Inputs!$B$11</f>
        <v/>
      </c>
      <c r="M23" s="22">
        <f>B23*Inputs!$B$13</f>
        <v/>
      </c>
      <c r="N23" s="22">
        <f>L23+M23+Inputs!$B$14</f>
        <v/>
      </c>
      <c r="O23" s="22">
        <f>N23/Inputs!$B$5</f>
        <v/>
      </c>
      <c r="P23" s="22">
        <f>Inputs!$B$6-O23</f>
        <v/>
      </c>
      <c r="Q23" s="17">
        <f>F23*Inputs!$B$20</f>
        <v/>
      </c>
      <c r="R23" s="20">
        <f>INDEX(Inputs!$B$28:$D$28,1,MATCH($D23,Inputs!$B$24:$D$24,0))</f>
        <v/>
      </c>
      <c r="S23" s="17">
        <f>J23*R23</f>
        <v/>
      </c>
      <c r="T23" s="22">
        <f>S23*Inputs!$B$17*Inputs!$B$18</f>
        <v/>
      </c>
      <c r="U23" s="22">
        <f>S23*Inputs!$B$19</f>
        <v/>
      </c>
      <c r="V23" s="22">
        <f>N23-T23+U23</f>
        <v/>
      </c>
      <c r="W23" s="22">
        <f>IFERROR(V23/S23,"")</f>
        <v/>
      </c>
    </row>
    <row r="24">
      <c r="A24" s="8" t="inlineStr">
        <is>
          <t>Medium</t>
        </is>
      </c>
      <c r="B24" s="17">
        <f>VLOOKUP(A24,'Target Groups'!$A$5:$C$9,3,FALSE)</f>
        <v/>
      </c>
      <c r="C24" s="19" t="n">
        <v>5</v>
      </c>
      <c r="D24" s="8" t="inlineStr">
        <is>
          <t>Base</t>
        </is>
      </c>
      <c r="E24" s="20">
        <f>INDEX(Inputs!$B$25:$D$25,1,MATCH($D24,Inputs!$B$24:$D$24,0))</f>
        <v/>
      </c>
      <c r="F24" s="17">
        <f>B24*E24</f>
        <v/>
      </c>
      <c r="G24" s="20">
        <f>INDEX(Inputs!$B$26:$D$26,1,MATCH($D24,Inputs!$B$24:$D$24,0))</f>
        <v/>
      </c>
      <c r="H24" s="17">
        <f>F24*G24</f>
        <v/>
      </c>
      <c r="I24" s="21">
        <f>INDEX(Inputs!$B$27:$D$27,1,MATCH($D24,Inputs!$B$24:$D$24,0))</f>
        <v/>
      </c>
      <c r="J24" s="17">
        <f>H24*I24</f>
        <v/>
      </c>
      <c r="K24" s="22">
        <f>J24*C24</f>
        <v/>
      </c>
      <c r="L24" s="22">
        <f>K24*Inputs!$B$11</f>
        <v/>
      </c>
      <c r="M24" s="22">
        <f>B24*Inputs!$B$13</f>
        <v/>
      </c>
      <c r="N24" s="22">
        <f>L24+M24+Inputs!$B$14</f>
        <v/>
      </c>
      <c r="O24" s="22">
        <f>N24/Inputs!$B$5</f>
        <v/>
      </c>
      <c r="P24" s="22">
        <f>Inputs!$B$6-O24</f>
        <v/>
      </c>
      <c r="Q24" s="17">
        <f>F24*Inputs!$B$20</f>
        <v/>
      </c>
      <c r="R24" s="20">
        <f>INDEX(Inputs!$B$28:$D$28,1,MATCH($D24,Inputs!$B$24:$D$24,0))</f>
        <v/>
      </c>
      <c r="S24" s="17">
        <f>J24*R24</f>
        <v/>
      </c>
      <c r="T24" s="22">
        <f>S24*Inputs!$B$17*Inputs!$B$18</f>
        <v/>
      </c>
      <c r="U24" s="22">
        <f>S24*Inputs!$B$19</f>
        <v/>
      </c>
      <c r="V24" s="22">
        <f>N24-T24+U24</f>
        <v/>
      </c>
      <c r="W24" s="22">
        <f>IFERROR(V24/S24,"")</f>
        <v/>
      </c>
    </row>
    <row r="25">
      <c r="A25" s="8" t="inlineStr">
        <is>
          <t>Medium</t>
        </is>
      </c>
      <c r="B25" s="17">
        <f>VLOOKUP(A25,'Target Groups'!$A$5:$C$9,3,FALSE)</f>
        <v/>
      </c>
      <c r="C25" s="19" t="n">
        <v>5</v>
      </c>
      <c r="D25" s="8" t="inlineStr">
        <is>
          <t>High</t>
        </is>
      </c>
      <c r="E25" s="20">
        <f>INDEX(Inputs!$B$25:$D$25,1,MATCH($D25,Inputs!$B$24:$D$24,0))</f>
        <v/>
      </c>
      <c r="F25" s="17">
        <f>B25*E25</f>
        <v/>
      </c>
      <c r="G25" s="20">
        <f>INDEX(Inputs!$B$26:$D$26,1,MATCH($D25,Inputs!$B$24:$D$24,0))</f>
        <v/>
      </c>
      <c r="H25" s="17">
        <f>F25*G25</f>
        <v/>
      </c>
      <c r="I25" s="21">
        <f>INDEX(Inputs!$B$27:$D$27,1,MATCH($D25,Inputs!$B$24:$D$24,0))</f>
        <v/>
      </c>
      <c r="J25" s="17">
        <f>H25*I25</f>
        <v/>
      </c>
      <c r="K25" s="22">
        <f>J25*C25</f>
        <v/>
      </c>
      <c r="L25" s="22">
        <f>K25*Inputs!$B$11</f>
        <v/>
      </c>
      <c r="M25" s="22">
        <f>B25*Inputs!$B$13</f>
        <v/>
      </c>
      <c r="N25" s="22">
        <f>L25+M25+Inputs!$B$14</f>
        <v/>
      </c>
      <c r="O25" s="22">
        <f>N25/Inputs!$B$5</f>
        <v/>
      </c>
      <c r="P25" s="22">
        <f>Inputs!$B$6-O25</f>
        <v/>
      </c>
      <c r="Q25" s="17">
        <f>F25*Inputs!$B$20</f>
        <v/>
      </c>
      <c r="R25" s="20">
        <f>INDEX(Inputs!$B$28:$D$28,1,MATCH($D25,Inputs!$B$24:$D$24,0))</f>
        <v/>
      </c>
      <c r="S25" s="17">
        <f>J25*R25</f>
        <v/>
      </c>
      <c r="T25" s="22">
        <f>S25*Inputs!$B$17*Inputs!$B$18</f>
        <v/>
      </c>
      <c r="U25" s="22">
        <f>S25*Inputs!$B$19</f>
        <v/>
      </c>
      <c r="V25" s="22">
        <f>N25-T25+U25</f>
        <v/>
      </c>
      <c r="W25" s="22">
        <f>IFERROR(V25/S25,"")</f>
        <v/>
      </c>
    </row>
    <row r="26">
      <c r="A26" s="8" t="inlineStr">
        <is>
          <t>Medium</t>
        </is>
      </c>
      <c r="B26" s="17">
        <f>VLOOKUP(A26,'Target Groups'!$A$5:$C$9,3,FALSE)</f>
        <v/>
      </c>
      <c r="C26" s="19" t="n">
        <v>7</v>
      </c>
      <c r="D26" s="8" t="inlineStr">
        <is>
          <t>Low</t>
        </is>
      </c>
      <c r="E26" s="20">
        <f>INDEX(Inputs!$B$25:$D$25,1,MATCH($D26,Inputs!$B$24:$D$24,0))</f>
        <v/>
      </c>
      <c r="F26" s="17">
        <f>B26*E26</f>
        <v/>
      </c>
      <c r="G26" s="20">
        <f>INDEX(Inputs!$B$26:$D$26,1,MATCH($D26,Inputs!$B$24:$D$24,0))</f>
        <v/>
      </c>
      <c r="H26" s="17">
        <f>F26*G26</f>
        <v/>
      </c>
      <c r="I26" s="21">
        <f>INDEX(Inputs!$B$27:$D$27,1,MATCH($D26,Inputs!$B$24:$D$24,0))</f>
        <v/>
      </c>
      <c r="J26" s="17">
        <f>H26*I26</f>
        <v/>
      </c>
      <c r="K26" s="22">
        <f>J26*C26</f>
        <v/>
      </c>
      <c r="L26" s="22">
        <f>K26*Inputs!$B$11</f>
        <v/>
      </c>
      <c r="M26" s="22">
        <f>B26*Inputs!$B$13</f>
        <v/>
      </c>
      <c r="N26" s="22">
        <f>L26+M26+Inputs!$B$14</f>
        <v/>
      </c>
      <c r="O26" s="22">
        <f>N26/Inputs!$B$5</f>
        <v/>
      </c>
      <c r="P26" s="22">
        <f>Inputs!$B$6-O26</f>
        <v/>
      </c>
      <c r="Q26" s="17">
        <f>F26*Inputs!$B$20</f>
        <v/>
      </c>
      <c r="R26" s="20">
        <f>INDEX(Inputs!$B$28:$D$28,1,MATCH($D26,Inputs!$B$24:$D$24,0))</f>
        <v/>
      </c>
      <c r="S26" s="17">
        <f>J26*R26</f>
        <v/>
      </c>
      <c r="T26" s="22">
        <f>S26*Inputs!$B$17*Inputs!$B$18</f>
        <v/>
      </c>
      <c r="U26" s="22">
        <f>S26*Inputs!$B$19</f>
        <v/>
      </c>
      <c r="V26" s="22">
        <f>N26-T26+U26</f>
        <v/>
      </c>
      <c r="W26" s="22">
        <f>IFERROR(V26/S26,"")</f>
        <v/>
      </c>
    </row>
    <row r="27">
      <c r="A27" s="8" t="inlineStr">
        <is>
          <t>Medium</t>
        </is>
      </c>
      <c r="B27" s="17">
        <f>VLOOKUP(A27,'Target Groups'!$A$5:$C$9,3,FALSE)</f>
        <v/>
      </c>
      <c r="C27" s="19" t="n">
        <v>7</v>
      </c>
      <c r="D27" s="8" t="inlineStr">
        <is>
          <t>Base</t>
        </is>
      </c>
      <c r="E27" s="20">
        <f>INDEX(Inputs!$B$25:$D$25,1,MATCH($D27,Inputs!$B$24:$D$24,0))</f>
        <v/>
      </c>
      <c r="F27" s="17">
        <f>B27*E27</f>
        <v/>
      </c>
      <c r="G27" s="20">
        <f>INDEX(Inputs!$B$26:$D$26,1,MATCH($D27,Inputs!$B$24:$D$24,0))</f>
        <v/>
      </c>
      <c r="H27" s="17">
        <f>F27*G27</f>
        <v/>
      </c>
      <c r="I27" s="21">
        <f>INDEX(Inputs!$B$27:$D$27,1,MATCH($D27,Inputs!$B$24:$D$24,0))</f>
        <v/>
      </c>
      <c r="J27" s="17">
        <f>H27*I27</f>
        <v/>
      </c>
      <c r="K27" s="22">
        <f>J27*C27</f>
        <v/>
      </c>
      <c r="L27" s="22">
        <f>K27*Inputs!$B$11</f>
        <v/>
      </c>
      <c r="M27" s="22">
        <f>B27*Inputs!$B$13</f>
        <v/>
      </c>
      <c r="N27" s="22">
        <f>L27+M27+Inputs!$B$14</f>
        <v/>
      </c>
      <c r="O27" s="22">
        <f>N27/Inputs!$B$5</f>
        <v/>
      </c>
      <c r="P27" s="22">
        <f>Inputs!$B$6-O27</f>
        <v/>
      </c>
      <c r="Q27" s="17">
        <f>F27*Inputs!$B$20</f>
        <v/>
      </c>
      <c r="R27" s="20">
        <f>INDEX(Inputs!$B$28:$D$28,1,MATCH($D27,Inputs!$B$24:$D$24,0))</f>
        <v/>
      </c>
      <c r="S27" s="17">
        <f>J27*R27</f>
        <v/>
      </c>
      <c r="T27" s="22">
        <f>S27*Inputs!$B$17*Inputs!$B$18</f>
        <v/>
      </c>
      <c r="U27" s="22">
        <f>S27*Inputs!$B$19</f>
        <v/>
      </c>
      <c r="V27" s="22">
        <f>N27-T27+U27</f>
        <v/>
      </c>
      <c r="W27" s="22">
        <f>IFERROR(V27/S27,"")</f>
        <v/>
      </c>
    </row>
    <row r="28">
      <c r="A28" s="8" t="inlineStr">
        <is>
          <t>Medium</t>
        </is>
      </c>
      <c r="B28" s="17">
        <f>VLOOKUP(A28,'Target Groups'!$A$5:$C$9,3,FALSE)</f>
        <v/>
      </c>
      <c r="C28" s="19" t="n">
        <v>7</v>
      </c>
      <c r="D28" s="8" t="inlineStr">
        <is>
          <t>High</t>
        </is>
      </c>
      <c r="E28" s="20">
        <f>INDEX(Inputs!$B$25:$D$25,1,MATCH($D28,Inputs!$B$24:$D$24,0))</f>
        <v/>
      </c>
      <c r="F28" s="17">
        <f>B28*E28</f>
        <v/>
      </c>
      <c r="G28" s="20">
        <f>INDEX(Inputs!$B$26:$D$26,1,MATCH($D28,Inputs!$B$24:$D$24,0))</f>
        <v/>
      </c>
      <c r="H28" s="17">
        <f>F28*G28</f>
        <v/>
      </c>
      <c r="I28" s="21">
        <f>INDEX(Inputs!$B$27:$D$27,1,MATCH($D28,Inputs!$B$24:$D$24,0))</f>
        <v/>
      </c>
      <c r="J28" s="17">
        <f>H28*I28</f>
        <v/>
      </c>
      <c r="K28" s="22">
        <f>J28*C28</f>
        <v/>
      </c>
      <c r="L28" s="22">
        <f>K28*Inputs!$B$11</f>
        <v/>
      </c>
      <c r="M28" s="22">
        <f>B28*Inputs!$B$13</f>
        <v/>
      </c>
      <c r="N28" s="22">
        <f>L28+M28+Inputs!$B$14</f>
        <v/>
      </c>
      <c r="O28" s="22">
        <f>N28/Inputs!$B$5</f>
        <v/>
      </c>
      <c r="P28" s="22">
        <f>Inputs!$B$6-O28</f>
        <v/>
      </c>
      <c r="Q28" s="17">
        <f>F28*Inputs!$B$20</f>
        <v/>
      </c>
      <c r="R28" s="20">
        <f>INDEX(Inputs!$B$28:$D$28,1,MATCH($D28,Inputs!$B$24:$D$24,0))</f>
        <v/>
      </c>
      <c r="S28" s="17">
        <f>J28*R28</f>
        <v/>
      </c>
      <c r="T28" s="22">
        <f>S28*Inputs!$B$17*Inputs!$B$18</f>
        <v/>
      </c>
      <c r="U28" s="22">
        <f>S28*Inputs!$B$19</f>
        <v/>
      </c>
      <c r="V28" s="22">
        <f>N28-T28+U28</f>
        <v/>
      </c>
      <c r="W28" s="22">
        <f>IFERROR(V28/S28,"")</f>
        <v/>
      </c>
    </row>
    <row r="29">
      <c r="A29" s="8" t="inlineStr">
        <is>
          <t>Medium</t>
        </is>
      </c>
      <c r="B29" s="17">
        <f>VLOOKUP(A29,'Target Groups'!$A$5:$C$9,3,FALSE)</f>
        <v/>
      </c>
      <c r="C29" s="19" t="n">
        <v>10</v>
      </c>
      <c r="D29" s="8" t="inlineStr">
        <is>
          <t>Low</t>
        </is>
      </c>
      <c r="E29" s="20">
        <f>INDEX(Inputs!$B$25:$D$25,1,MATCH($D29,Inputs!$B$24:$D$24,0))</f>
        <v/>
      </c>
      <c r="F29" s="17">
        <f>B29*E29</f>
        <v/>
      </c>
      <c r="G29" s="20">
        <f>INDEX(Inputs!$B$26:$D$26,1,MATCH($D29,Inputs!$B$24:$D$24,0))</f>
        <v/>
      </c>
      <c r="H29" s="17">
        <f>F29*G29</f>
        <v/>
      </c>
      <c r="I29" s="21">
        <f>INDEX(Inputs!$B$27:$D$27,1,MATCH($D29,Inputs!$B$24:$D$24,0))</f>
        <v/>
      </c>
      <c r="J29" s="17">
        <f>H29*I29</f>
        <v/>
      </c>
      <c r="K29" s="22">
        <f>J29*C29</f>
        <v/>
      </c>
      <c r="L29" s="22">
        <f>K29*Inputs!$B$11</f>
        <v/>
      </c>
      <c r="M29" s="22">
        <f>B29*Inputs!$B$13</f>
        <v/>
      </c>
      <c r="N29" s="22">
        <f>L29+M29+Inputs!$B$14</f>
        <v/>
      </c>
      <c r="O29" s="22">
        <f>N29/Inputs!$B$5</f>
        <v/>
      </c>
      <c r="P29" s="22">
        <f>Inputs!$B$6-O29</f>
        <v/>
      </c>
      <c r="Q29" s="17">
        <f>F29*Inputs!$B$20</f>
        <v/>
      </c>
      <c r="R29" s="20">
        <f>INDEX(Inputs!$B$28:$D$28,1,MATCH($D29,Inputs!$B$24:$D$24,0))</f>
        <v/>
      </c>
      <c r="S29" s="17">
        <f>J29*R29</f>
        <v/>
      </c>
      <c r="T29" s="22">
        <f>S29*Inputs!$B$17*Inputs!$B$18</f>
        <v/>
      </c>
      <c r="U29" s="22">
        <f>S29*Inputs!$B$19</f>
        <v/>
      </c>
      <c r="V29" s="22">
        <f>N29-T29+U29</f>
        <v/>
      </c>
      <c r="W29" s="22">
        <f>IFERROR(V29/S29,"")</f>
        <v/>
      </c>
    </row>
    <row r="30">
      <c r="A30" s="8" t="inlineStr">
        <is>
          <t>Medium</t>
        </is>
      </c>
      <c r="B30" s="17">
        <f>VLOOKUP(A30,'Target Groups'!$A$5:$C$9,3,FALSE)</f>
        <v/>
      </c>
      <c r="C30" s="19" t="n">
        <v>10</v>
      </c>
      <c r="D30" s="8" t="inlineStr">
        <is>
          <t>Base</t>
        </is>
      </c>
      <c r="E30" s="20">
        <f>INDEX(Inputs!$B$25:$D$25,1,MATCH($D30,Inputs!$B$24:$D$24,0))</f>
        <v/>
      </c>
      <c r="F30" s="17">
        <f>B30*E30</f>
        <v/>
      </c>
      <c r="G30" s="20">
        <f>INDEX(Inputs!$B$26:$D$26,1,MATCH($D30,Inputs!$B$24:$D$24,0))</f>
        <v/>
      </c>
      <c r="H30" s="17">
        <f>F30*G30</f>
        <v/>
      </c>
      <c r="I30" s="21">
        <f>INDEX(Inputs!$B$27:$D$27,1,MATCH($D30,Inputs!$B$24:$D$24,0))</f>
        <v/>
      </c>
      <c r="J30" s="17">
        <f>H30*I30</f>
        <v/>
      </c>
      <c r="K30" s="22">
        <f>J30*C30</f>
        <v/>
      </c>
      <c r="L30" s="22">
        <f>K30*Inputs!$B$11</f>
        <v/>
      </c>
      <c r="M30" s="22">
        <f>B30*Inputs!$B$13</f>
        <v/>
      </c>
      <c r="N30" s="22">
        <f>L30+M30+Inputs!$B$14</f>
        <v/>
      </c>
      <c r="O30" s="22">
        <f>N30/Inputs!$B$5</f>
        <v/>
      </c>
      <c r="P30" s="22">
        <f>Inputs!$B$6-O30</f>
        <v/>
      </c>
      <c r="Q30" s="17">
        <f>F30*Inputs!$B$20</f>
        <v/>
      </c>
      <c r="R30" s="20">
        <f>INDEX(Inputs!$B$28:$D$28,1,MATCH($D30,Inputs!$B$24:$D$24,0))</f>
        <v/>
      </c>
      <c r="S30" s="17">
        <f>J30*R30</f>
        <v/>
      </c>
      <c r="T30" s="22">
        <f>S30*Inputs!$B$17*Inputs!$B$18</f>
        <v/>
      </c>
      <c r="U30" s="22">
        <f>S30*Inputs!$B$19</f>
        <v/>
      </c>
      <c r="V30" s="22">
        <f>N30-T30+U30</f>
        <v/>
      </c>
      <c r="W30" s="22">
        <f>IFERROR(V30/S30,"")</f>
        <v/>
      </c>
    </row>
    <row r="31">
      <c r="A31" s="8" t="inlineStr">
        <is>
          <t>Medium</t>
        </is>
      </c>
      <c r="B31" s="17">
        <f>VLOOKUP(A31,'Target Groups'!$A$5:$C$9,3,FALSE)</f>
        <v/>
      </c>
      <c r="C31" s="19" t="n">
        <v>10</v>
      </c>
      <c r="D31" s="8" t="inlineStr">
        <is>
          <t>High</t>
        </is>
      </c>
      <c r="E31" s="20">
        <f>INDEX(Inputs!$B$25:$D$25,1,MATCH($D31,Inputs!$B$24:$D$24,0))</f>
        <v/>
      </c>
      <c r="F31" s="17">
        <f>B31*E31</f>
        <v/>
      </c>
      <c r="G31" s="20">
        <f>INDEX(Inputs!$B$26:$D$26,1,MATCH($D31,Inputs!$B$24:$D$24,0))</f>
        <v/>
      </c>
      <c r="H31" s="17">
        <f>F31*G31</f>
        <v/>
      </c>
      <c r="I31" s="21">
        <f>INDEX(Inputs!$B$27:$D$27,1,MATCH($D31,Inputs!$B$24:$D$24,0))</f>
        <v/>
      </c>
      <c r="J31" s="17">
        <f>H31*I31</f>
        <v/>
      </c>
      <c r="K31" s="22">
        <f>J31*C31</f>
        <v/>
      </c>
      <c r="L31" s="22">
        <f>K31*Inputs!$B$11</f>
        <v/>
      </c>
      <c r="M31" s="22">
        <f>B31*Inputs!$B$13</f>
        <v/>
      </c>
      <c r="N31" s="22">
        <f>L31+M31+Inputs!$B$14</f>
        <v/>
      </c>
      <c r="O31" s="22">
        <f>N31/Inputs!$B$5</f>
        <v/>
      </c>
      <c r="P31" s="22">
        <f>Inputs!$B$6-O31</f>
        <v/>
      </c>
      <c r="Q31" s="17">
        <f>F31*Inputs!$B$20</f>
        <v/>
      </c>
      <c r="R31" s="20">
        <f>INDEX(Inputs!$B$28:$D$28,1,MATCH($D31,Inputs!$B$24:$D$24,0))</f>
        <v/>
      </c>
      <c r="S31" s="17">
        <f>J31*R31</f>
        <v/>
      </c>
      <c r="T31" s="22">
        <f>S31*Inputs!$B$17*Inputs!$B$18</f>
        <v/>
      </c>
      <c r="U31" s="22">
        <f>S31*Inputs!$B$19</f>
        <v/>
      </c>
      <c r="V31" s="22">
        <f>N31-T31+U31</f>
        <v/>
      </c>
      <c r="W31" s="22">
        <f>IFERROR(V31/S31,"")</f>
        <v/>
      </c>
    </row>
    <row r="32">
      <c r="A32" s="8" t="inlineStr">
        <is>
          <t>Broad</t>
        </is>
      </c>
      <c r="B32" s="17">
        <f>VLOOKUP(A32,'Target Groups'!$A$5:$C$9,3,FALSE)</f>
        <v/>
      </c>
      <c r="C32" s="19" t="n">
        <v>5</v>
      </c>
      <c r="D32" s="8" t="inlineStr">
        <is>
          <t>Low</t>
        </is>
      </c>
      <c r="E32" s="20">
        <f>INDEX(Inputs!$B$25:$D$25,1,MATCH($D32,Inputs!$B$24:$D$24,0))</f>
        <v/>
      </c>
      <c r="F32" s="17">
        <f>B32*E32</f>
        <v/>
      </c>
      <c r="G32" s="20">
        <f>INDEX(Inputs!$B$26:$D$26,1,MATCH($D32,Inputs!$B$24:$D$24,0))</f>
        <v/>
      </c>
      <c r="H32" s="17">
        <f>F32*G32</f>
        <v/>
      </c>
      <c r="I32" s="21">
        <f>INDEX(Inputs!$B$27:$D$27,1,MATCH($D32,Inputs!$B$24:$D$24,0))</f>
        <v/>
      </c>
      <c r="J32" s="17">
        <f>H32*I32</f>
        <v/>
      </c>
      <c r="K32" s="22">
        <f>J32*C32</f>
        <v/>
      </c>
      <c r="L32" s="22">
        <f>K32*Inputs!$B$11</f>
        <v/>
      </c>
      <c r="M32" s="22">
        <f>B32*Inputs!$B$13</f>
        <v/>
      </c>
      <c r="N32" s="22">
        <f>L32+M32+Inputs!$B$14</f>
        <v/>
      </c>
      <c r="O32" s="22">
        <f>N32/Inputs!$B$5</f>
        <v/>
      </c>
      <c r="P32" s="22">
        <f>Inputs!$B$6-O32</f>
        <v/>
      </c>
      <c r="Q32" s="17">
        <f>F32*Inputs!$B$20</f>
        <v/>
      </c>
      <c r="R32" s="20">
        <f>INDEX(Inputs!$B$28:$D$28,1,MATCH($D32,Inputs!$B$24:$D$24,0))</f>
        <v/>
      </c>
      <c r="S32" s="17">
        <f>J32*R32</f>
        <v/>
      </c>
      <c r="T32" s="22">
        <f>S32*Inputs!$B$17*Inputs!$B$18</f>
        <v/>
      </c>
      <c r="U32" s="22">
        <f>S32*Inputs!$B$19</f>
        <v/>
      </c>
      <c r="V32" s="22">
        <f>N32-T32+U32</f>
        <v/>
      </c>
      <c r="W32" s="22">
        <f>IFERROR(V32/S32,"")</f>
        <v/>
      </c>
    </row>
    <row r="33">
      <c r="A33" s="8" t="inlineStr">
        <is>
          <t>Broad</t>
        </is>
      </c>
      <c r="B33" s="17">
        <f>VLOOKUP(A33,'Target Groups'!$A$5:$C$9,3,FALSE)</f>
        <v/>
      </c>
      <c r="C33" s="19" t="n">
        <v>5</v>
      </c>
      <c r="D33" s="8" t="inlineStr">
        <is>
          <t>Base</t>
        </is>
      </c>
      <c r="E33" s="20">
        <f>INDEX(Inputs!$B$25:$D$25,1,MATCH($D33,Inputs!$B$24:$D$24,0))</f>
        <v/>
      </c>
      <c r="F33" s="17">
        <f>B33*E33</f>
        <v/>
      </c>
      <c r="G33" s="20">
        <f>INDEX(Inputs!$B$26:$D$26,1,MATCH($D33,Inputs!$B$24:$D$24,0))</f>
        <v/>
      </c>
      <c r="H33" s="17">
        <f>F33*G33</f>
        <v/>
      </c>
      <c r="I33" s="21">
        <f>INDEX(Inputs!$B$27:$D$27,1,MATCH($D33,Inputs!$B$24:$D$24,0))</f>
        <v/>
      </c>
      <c r="J33" s="17">
        <f>H33*I33</f>
        <v/>
      </c>
      <c r="K33" s="22">
        <f>J33*C33</f>
        <v/>
      </c>
      <c r="L33" s="22">
        <f>K33*Inputs!$B$11</f>
        <v/>
      </c>
      <c r="M33" s="22">
        <f>B33*Inputs!$B$13</f>
        <v/>
      </c>
      <c r="N33" s="22">
        <f>L33+M33+Inputs!$B$14</f>
        <v/>
      </c>
      <c r="O33" s="22">
        <f>N33/Inputs!$B$5</f>
        <v/>
      </c>
      <c r="P33" s="22">
        <f>Inputs!$B$6-O33</f>
        <v/>
      </c>
      <c r="Q33" s="17">
        <f>F33*Inputs!$B$20</f>
        <v/>
      </c>
      <c r="R33" s="20">
        <f>INDEX(Inputs!$B$28:$D$28,1,MATCH($D33,Inputs!$B$24:$D$24,0))</f>
        <v/>
      </c>
      <c r="S33" s="17">
        <f>J33*R33</f>
        <v/>
      </c>
      <c r="T33" s="22">
        <f>S33*Inputs!$B$17*Inputs!$B$18</f>
        <v/>
      </c>
      <c r="U33" s="22">
        <f>S33*Inputs!$B$19</f>
        <v/>
      </c>
      <c r="V33" s="22">
        <f>N33-T33+U33</f>
        <v/>
      </c>
      <c r="W33" s="22">
        <f>IFERROR(V33/S33,"")</f>
        <v/>
      </c>
    </row>
    <row r="34">
      <c r="A34" s="8" t="inlineStr">
        <is>
          <t>Broad</t>
        </is>
      </c>
      <c r="B34" s="17">
        <f>VLOOKUP(A34,'Target Groups'!$A$5:$C$9,3,FALSE)</f>
        <v/>
      </c>
      <c r="C34" s="19" t="n">
        <v>5</v>
      </c>
      <c r="D34" s="8" t="inlineStr">
        <is>
          <t>High</t>
        </is>
      </c>
      <c r="E34" s="20">
        <f>INDEX(Inputs!$B$25:$D$25,1,MATCH($D34,Inputs!$B$24:$D$24,0))</f>
        <v/>
      </c>
      <c r="F34" s="17">
        <f>B34*E34</f>
        <v/>
      </c>
      <c r="G34" s="20">
        <f>INDEX(Inputs!$B$26:$D$26,1,MATCH($D34,Inputs!$B$24:$D$24,0))</f>
        <v/>
      </c>
      <c r="H34" s="17">
        <f>F34*G34</f>
        <v/>
      </c>
      <c r="I34" s="21">
        <f>INDEX(Inputs!$B$27:$D$27,1,MATCH($D34,Inputs!$B$24:$D$24,0))</f>
        <v/>
      </c>
      <c r="J34" s="17">
        <f>H34*I34</f>
        <v/>
      </c>
      <c r="K34" s="22">
        <f>J34*C34</f>
        <v/>
      </c>
      <c r="L34" s="22">
        <f>K34*Inputs!$B$11</f>
        <v/>
      </c>
      <c r="M34" s="22">
        <f>B34*Inputs!$B$13</f>
        <v/>
      </c>
      <c r="N34" s="22">
        <f>L34+M34+Inputs!$B$14</f>
        <v/>
      </c>
      <c r="O34" s="22">
        <f>N34/Inputs!$B$5</f>
        <v/>
      </c>
      <c r="P34" s="22">
        <f>Inputs!$B$6-O34</f>
        <v/>
      </c>
      <c r="Q34" s="17">
        <f>F34*Inputs!$B$20</f>
        <v/>
      </c>
      <c r="R34" s="20">
        <f>INDEX(Inputs!$B$28:$D$28,1,MATCH($D34,Inputs!$B$24:$D$24,0))</f>
        <v/>
      </c>
      <c r="S34" s="17">
        <f>J34*R34</f>
        <v/>
      </c>
      <c r="T34" s="22">
        <f>S34*Inputs!$B$17*Inputs!$B$18</f>
        <v/>
      </c>
      <c r="U34" s="22">
        <f>S34*Inputs!$B$19</f>
        <v/>
      </c>
      <c r="V34" s="22">
        <f>N34-T34+U34</f>
        <v/>
      </c>
      <c r="W34" s="22">
        <f>IFERROR(V34/S34,"")</f>
        <v/>
      </c>
    </row>
    <row r="35">
      <c r="A35" s="8" t="inlineStr">
        <is>
          <t>Broad</t>
        </is>
      </c>
      <c r="B35" s="17">
        <f>VLOOKUP(A35,'Target Groups'!$A$5:$C$9,3,FALSE)</f>
        <v/>
      </c>
      <c r="C35" s="19" t="n">
        <v>7</v>
      </c>
      <c r="D35" s="8" t="inlineStr">
        <is>
          <t>Low</t>
        </is>
      </c>
      <c r="E35" s="20">
        <f>INDEX(Inputs!$B$25:$D$25,1,MATCH($D35,Inputs!$B$24:$D$24,0))</f>
        <v/>
      </c>
      <c r="F35" s="17">
        <f>B35*E35</f>
        <v/>
      </c>
      <c r="G35" s="20">
        <f>INDEX(Inputs!$B$26:$D$26,1,MATCH($D35,Inputs!$B$24:$D$24,0))</f>
        <v/>
      </c>
      <c r="H35" s="17">
        <f>F35*G35</f>
        <v/>
      </c>
      <c r="I35" s="21">
        <f>INDEX(Inputs!$B$27:$D$27,1,MATCH($D35,Inputs!$B$24:$D$24,0))</f>
        <v/>
      </c>
      <c r="J35" s="17">
        <f>H35*I35</f>
        <v/>
      </c>
      <c r="K35" s="22">
        <f>J35*C35</f>
        <v/>
      </c>
      <c r="L35" s="22">
        <f>K35*Inputs!$B$11</f>
        <v/>
      </c>
      <c r="M35" s="22">
        <f>B35*Inputs!$B$13</f>
        <v/>
      </c>
      <c r="N35" s="22">
        <f>L35+M35+Inputs!$B$14</f>
        <v/>
      </c>
      <c r="O35" s="22">
        <f>N35/Inputs!$B$5</f>
        <v/>
      </c>
      <c r="P35" s="22">
        <f>Inputs!$B$6-O35</f>
        <v/>
      </c>
      <c r="Q35" s="17">
        <f>F35*Inputs!$B$20</f>
        <v/>
      </c>
      <c r="R35" s="20">
        <f>INDEX(Inputs!$B$28:$D$28,1,MATCH($D35,Inputs!$B$24:$D$24,0))</f>
        <v/>
      </c>
      <c r="S35" s="17">
        <f>J35*R35</f>
        <v/>
      </c>
      <c r="T35" s="22">
        <f>S35*Inputs!$B$17*Inputs!$B$18</f>
        <v/>
      </c>
      <c r="U35" s="22">
        <f>S35*Inputs!$B$19</f>
        <v/>
      </c>
      <c r="V35" s="22">
        <f>N35-T35+U35</f>
        <v/>
      </c>
      <c r="W35" s="22">
        <f>IFERROR(V35/S35,"")</f>
        <v/>
      </c>
    </row>
    <row r="36">
      <c r="A36" s="8" t="inlineStr">
        <is>
          <t>Broad</t>
        </is>
      </c>
      <c r="B36" s="17">
        <f>VLOOKUP(A36,'Target Groups'!$A$5:$C$9,3,FALSE)</f>
        <v/>
      </c>
      <c r="C36" s="19" t="n">
        <v>7</v>
      </c>
      <c r="D36" s="8" t="inlineStr">
        <is>
          <t>Base</t>
        </is>
      </c>
      <c r="E36" s="20">
        <f>INDEX(Inputs!$B$25:$D$25,1,MATCH($D36,Inputs!$B$24:$D$24,0))</f>
        <v/>
      </c>
      <c r="F36" s="17">
        <f>B36*E36</f>
        <v/>
      </c>
      <c r="G36" s="20">
        <f>INDEX(Inputs!$B$26:$D$26,1,MATCH($D36,Inputs!$B$24:$D$24,0))</f>
        <v/>
      </c>
      <c r="H36" s="17">
        <f>F36*G36</f>
        <v/>
      </c>
      <c r="I36" s="21">
        <f>INDEX(Inputs!$B$27:$D$27,1,MATCH($D36,Inputs!$B$24:$D$24,0))</f>
        <v/>
      </c>
      <c r="J36" s="17">
        <f>H36*I36</f>
        <v/>
      </c>
      <c r="K36" s="22">
        <f>J36*C36</f>
        <v/>
      </c>
      <c r="L36" s="22">
        <f>K36*Inputs!$B$11</f>
        <v/>
      </c>
      <c r="M36" s="22">
        <f>B36*Inputs!$B$13</f>
        <v/>
      </c>
      <c r="N36" s="22">
        <f>L36+M36+Inputs!$B$14</f>
        <v/>
      </c>
      <c r="O36" s="22">
        <f>N36/Inputs!$B$5</f>
        <v/>
      </c>
      <c r="P36" s="22">
        <f>Inputs!$B$6-O36</f>
        <v/>
      </c>
      <c r="Q36" s="17">
        <f>F36*Inputs!$B$20</f>
        <v/>
      </c>
      <c r="R36" s="20">
        <f>INDEX(Inputs!$B$28:$D$28,1,MATCH($D36,Inputs!$B$24:$D$24,0))</f>
        <v/>
      </c>
      <c r="S36" s="17">
        <f>J36*R36</f>
        <v/>
      </c>
      <c r="T36" s="22">
        <f>S36*Inputs!$B$17*Inputs!$B$18</f>
        <v/>
      </c>
      <c r="U36" s="22">
        <f>S36*Inputs!$B$19</f>
        <v/>
      </c>
      <c r="V36" s="22">
        <f>N36-T36+U36</f>
        <v/>
      </c>
      <c r="W36" s="22">
        <f>IFERROR(V36/S36,"")</f>
        <v/>
      </c>
    </row>
    <row r="37">
      <c r="A37" s="8" t="inlineStr">
        <is>
          <t>Broad</t>
        </is>
      </c>
      <c r="B37" s="17">
        <f>VLOOKUP(A37,'Target Groups'!$A$5:$C$9,3,FALSE)</f>
        <v/>
      </c>
      <c r="C37" s="19" t="n">
        <v>7</v>
      </c>
      <c r="D37" s="8" t="inlineStr">
        <is>
          <t>High</t>
        </is>
      </c>
      <c r="E37" s="20">
        <f>INDEX(Inputs!$B$25:$D$25,1,MATCH($D37,Inputs!$B$24:$D$24,0))</f>
        <v/>
      </c>
      <c r="F37" s="17">
        <f>B37*E37</f>
        <v/>
      </c>
      <c r="G37" s="20">
        <f>INDEX(Inputs!$B$26:$D$26,1,MATCH($D37,Inputs!$B$24:$D$24,0))</f>
        <v/>
      </c>
      <c r="H37" s="17">
        <f>F37*G37</f>
        <v/>
      </c>
      <c r="I37" s="21">
        <f>INDEX(Inputs!$B$27:$D$27,1,MATCH($D37,Inputs!$B$24:$D$24,0))</f>
        <v/>
      </c>
      <c r="J37" s="17">
        <f>H37*I37</f>
        <v/>
      </c>
      <c r="K37" s="22">
        <f>J37*C37</f>
        <v/>
      </c>
      <c r="L37" s="22">
        <f>K37*Inputs!$B$11</f>
        <v/>
      </c>
      <c r="M37" s="22">
        <f>B37*Inputs!$B$13</f>
        <v/>
      </c>
      <c r="N37" s="22">
        <f>L37+M37+Inputs!$B$14</f>
        <v/>
      </c>
      <c r="O37" s="22">
        <f>N37/Inputs!$B$5</f>
        <v/>
      </c>
      <c r="P37" s="22">
        <f>Inputs!$B$6-O37</f>
        <v/>
      </c>
      <c r="Q37" s="17">
        <f>F37*Inputs!$B$20</f>
        <v/>
      </c>
      <c r="R37" s="20">
        <f>INDEX(Inputs!$B$28:$D$28,1,MATCH($D37,Inputs!$B$24:$D$24,0))</f>
        <v/>
      </c>
      <c r="S37" s="17">
        <f>J37*R37</f>
        <v/>
      </c>
      <c r="T37" s="22">
        <f>S37*Inputs!$B$17*Inputs!$B$18</f>
        <v/>
      </c>
      <c r="U37" s="22">
        <f>S37*Inputs!$B$19</f>
        <v/>
      </c>
      <c r="V37" s="22">
        <f>N37-T37+U37</f>
        <v/>
      </c>
      <c r="W37" s="22">
        <f>IFERROR(V37/S37,"")</f>
        <v/>
      </c>
    </row>
    <row r="38">
      <c r="A38" s="8" t="inlineStr">
        <is>
          <t>Broad</t>
        </is>
      </c>
      <c r="B38" s="17">
        <f>VLOOKUP(A38,'Target Groups'!$A$5:$C$9,3,FALSE)</f>
        <v/>
      </c>
      <c r="C38" s="19" t="n">
        <v>10</v>
      </c>
      <c r="D38" s="8" t="inlineStr">
        <is>
          <t>Low</t>
        </is>
      </c>
      <c r="E38" s="20">
        <f>INDEX(Inputs!$B$25:$D$25,1,MATCH($D38,Inputs!$B$24:$D$24,0))</f>
        <v/>
      </c>
      <c r="F38" s="17">
        <f>B38*E38</f>
        <v/>
      </c>
      <c r="G38" s="20">
        <f>INDEX(Inputs!$B$26:$D$26,1,MATCH($D38,Inputs!$B$24:$D$24,0))</f>
        <v/>
      </c>
      <c r="H38" s="17">
        <f>F38*G38</f>
        <v/>
      </c>
      <c r="I38" s="21">
        <f>INDEX(Inputs!$B$27:$D$27,1,MATCH($D38,Inputs!$B$24:$D$24,0))</f>
        <v/>
      </c>
      <c r="J38" s="17">
        <f>H38*I38</f>
        <v/>
      </c>
      <c r="K38" s="22">
        <f>J38*C38</f>
        <v/>
      </c>
      <c r="L38" s="22">
        <f>K38*Inputs!$B$11</f>
        <v/>
      </c>
      <c r="M38" s="22">
        <f>B38*Inputs!$B$13</f>
        <v/>
      </c>
      <c r="N38" s="22">
        <f>L38+M38+Inputs!$B$14</f>
        <v/>
      </c>
      <c r="O38" s="22">
        <f>N38/Inputs!$B$5</f>
        <v/>
      </c>
      <c r="P38" s="22">
        <f>Inputs!$B$6-O38</f>
        <v/>
      </c>
      <c r="Q38" s="17">
        <f>F38*Inputs!$B$20</f>
        <v/>
      </c>
      <c r="R38" s="20">
        <f>INDEX(Inputs!$B$28:$D$28,1,MATCH($D38,Inputs!$B$24:$D$24,0))</f>
        <v/>
      </c>
      <c r="S38" s="17">
        <f>J38*R38</f>
        <v/>
      </c>
      <c r="T38" s="22">
        <f>S38*Inputs!$B$17*Inputs!$B$18</f>
        <v/>
      </c>
      <c r="U38" s="22">
        <f>S38*Inputs!$B$19</f>
        <v/>
      </c>
      <c r="V38" s="22">
        <f>N38-T38+U38</f>
        <v/>
      </c>
      <c r="W38" s="22">
        <f>IFERROR(V38/S38,"")</f>
        <v/>
      </c>
    </row>
    <row r="39">
      <c r="A39" s="8" t="inlineStr">
        <is>
          <t>Broad</t>
        </is>
      </c>
      <c r="B39" s="17">
        <f>VLOOKUP(A39,'Target Groups'!$A$5:$C$9,3,FALSE)</f>
        <v/>
      </c>
      <c r="C39" s="19" t="n">
        <v>10</v>
      </c>
      <c r="D39" s="8" t="inlineStr">
        <is>
          <t>Base</t>
        </is>
      </c>
      <c r="E39" s="20">
        <f>INDEX(Inputs!$B$25:$D$25,1,MATCH($D39,Inputs!$B$24:$D$24,0))</f>
        <v/>
      </c>
      <c r="F39" s="17">
        <f>B39*E39</f>
        <v/>
      </c>
      <c r="G39" s="20">
        <f>INDEX(Inputs!$B$26:$D$26,1,MATCH($D39,Inputs!$B$24:$D$24,0))</f>
        <v/>
      </c>
      <c r="H39" s="17">
        <f>F39*G39</f>
        <v/>
      </c>
      <c r="I39" s="21">
        <f>INDEX(Inputs!$B$27:$D$27,1,MATCH($D39,Inputs!$B$24:$D$24,0))</f>
        <v/>
      </c>
      <c r="J39" s="17">
        <f>H39*I39</f>
        <v/>
      </c>
      <c r="K39" s="22">
        <f>J39*C39</f>
        <v/>
      </c>
      <c r="L39" s="22">
        <f>K39*Inputs!$B$11</f>
        <v/>
      </c>
      <c r="M39" s="22">
        <f>B39*Inputs!$B$13</f>
        <v/>
      </c>
      <c r="N39" s="22">
        <f>L39+M39+Inputs!$B$14</f>
        <v/>
      </c>
      <c r="O39" s="22">
        <f>N39/Inputs!$B$5</f>
        <v/>
      </c>
      <c r="P39" s="22">
        <f>Inputs!$B$6-O39</f>
        <v/>
      </c>
      <c r="Q39" s="17">
        <f>F39*Inputs!$B$20</f>
        <v/>
      </c>
      <c r="R39" s="20">
        <f>INDEX(Inputs!$B$28:$D$28,1,MATCH($D39,Inputs!$B$24:$D$24,0))</f>
        <v/>
      </c>
      <c r="S39" s="17">
        <f>J39*R39</f>
        <v/>
      </c>
      <c r="T39" s="22">
        <f>S39*Inputs!$B$17*Inputs!$B$18</f>
        <v/>
      </c>
      <c r="U39" s="22">
        <f>S39*Inputs!$B$19</f>
        <v/>
      </c>
      <c r="V39" s="22">
        <f>N39-T39+U39</f>
        <v/>
      </c>
      <c r="W39" s="22">
        <f>IFERROR(V39/S39,"")</f>
        <v/>
      </c>
    </row>
    <row r="40">
      <c r="A40" s="8" t="inlineStr">
        <is>
          <t>Broad</t>
        </is>
      </c>
      <c r="B40" s="17">
        <f>VLOOKUP(A40,'Target Groups'!$A$5:$C$9,3,FALSE)</f>
        <v/>
      </c>
      <c r="C40" s="19" t="n">
        <v>10</v>
      </c>
      <c r="D40" s="8" t="inlineStr">
        <is>
          <t>High</t>
        </is>
      </c>
      <c r="E40" s="20">
        <f>INDEX(Inputs!$B$25:$D$25,1,MATCH($D40,Inputs!$B$24:$D$24,0))</f>
        <v/>
      </c>
      <c r="F40" s="17">
        <f>B40*E40</f>
        <v/>
      </c>
      <c r="G40" s="20">
        <f>INDEX(Inputs!$B$26:$D$26,1,MATCH($D40,Inputs!$B$24:$D$24,0))</f>
        <v/>
      </c>
      <c r="H40" s="17">
        <f>F40*G40</f>
        <v/>
      </c>
      <c r="I40" s="21">
        <f>INDEX(Inputs!$B$27:$D$27,1,MATCH($D40,Inputs!$B$24:$D$24,0))</f>
        <v/>
      </c>
      <c r="J40" s="17">
        <f>H40*I40</f>
        <v/>
      </c>
      <c r="K40" s="22">
        <f>J40*C40</f>
        <v/>
      </c>
      <c r="L40" s="22">
        <f>K40*Inputs!$B$11</f>
        <v/>
      </c>
      <c r="M40" s="22">
        <f>B40*Inputs!$B$13</f>
        <v/>
      </c>
      <c r="N40" s="22">
        <f>L40+M40+Inputs!$B$14</f>
        <v/>
      </c>
      <c r="O40" s="22">
        <f>N40/Inputs!$B$5</f>
        <v/>
      </c>
      <c r="P40" s="22">
        <f>Inputs!$B$6-O40</f>
        <v/>
      </c>
      <c r="Q40" s="17">
        <f>F40*Inputs!$B$20</f>
        <v/>
      </c>
      <c r="R40" s="20">
        <f>INDEX(Inputs!$B$28:$D$28,1,MATCH($D40,Inputs!$B$24:$D$24,0))</f>
        <v/>
      </c>
      <c r="S40" s="17">
        <f>J40*R40</f>
        <v/>
      </c>
      <c r="T40" s="22">
        <f>S40*Inputs!$B$17*Inputs!$B$18</f>
        <v/>
      </c>
      <c r="U40" s="22">
        <f>S40*Inputs!$B$19</f>
        <v/>
      </c>
      <c r="V40" s="22">
        <f>N40-T40+U40</f>
        <v/>
      </c>
      <c r="W40" s="22">
        <f>IFERROR(V40/S40,"")</f>
        <v/>
      </c>
    </row>
    <row r="41">
      <c r="A41" s="8" t="inlineStr">
        <is>
          <t>Widest</t>
        </is>
      </c>
      <c r="B41" s="17">
        <f>VLOOKUP(A41,'Target Groups'!$A$5:$C$9,3,FALSE)</f>
        <v/>
      </c>
      <c r="C41" s="19" t="n">
        <v>5</v>
      </c>
      <c r="D41" s="8" t="inlineStr">
        <is>
          <t>Low</t>
        </is>
      </c>
      <c r="E41" s="20">
        <f>INDEX(Inputs!$B$25:$D$25,1,MATCH($D41,Inputs!$B$24:$D$24,0))</f>
        <v/>
      </c>
      <c r="F41" s="17">
        <f>B41*E41</f>
        <v/>
      </c>
      <c r="G41" s="20">
        <f>INDEX(Inputs!$B$26:$D$26,1,MATCH($D41,Inputs!$B$24:$D$24,0))</f>
        <v/>
      </c>
      <c r="H41" s="17">
        <f>F41*G41</f>
        <v/>
      </c>
      <c r="I41" s="21">
        <f>INDEX(Inputs!$B$27:$D$27,1,MATCH($D41,Inputs!$B$24:$D$24,0))</f>
        <v/>
      </c>
      <c r="J41" s="17">
        <f>H41*I41</f>
        <v/>
      </c>
      <c r="K41" s="22">
        <f>J41*C41</f>
        <v/>
      </c>
      <c r="L41" s="22">
        <f>K41*Inputs!$B$11</f>
        <v/>
      </c>
      <c r="M41" s="22">
        <f>B41*Inputs!$B$13</f>
        <v/>
      </c>
      <c r="N41" s="22">
        <f>L41+M41+Inputs!$B$14</f>
        <v/>
      </c>
      <c r="O41" s="22">
        <f>N41/Inputs!$B$5</f>
        <v/>
      </c>
      <c r="P41" s="22">
        <f>Inputs!$B$6-O41</f>
        <v/>
      </c>
      <c r="Q41" s="17">
        <f>F41*Inputs!$B$20</f>
        <v/>
      </c>
      <c r="R41" s="20">
        <f>INDEX(Inputs!$B$28:$D$28,1,MATCH($D41,Inputs!$B$24:$D$24,0))</f>
        <v/>
      </c>
      <c r="S41" s="17">
        <f>J41*R41</f>
        <v/>
      </c>
      <c r="T41" s="22">
        <f>S41*Inputs!$B$17*Inputs!$B$18</f>
        <v/>
      </c>
      <c r="U41" s="22">
        <f>S41*Inputs!$B$19</f>
        <v/>
      </c>
      <c r="V41" s="22">
        <f>N41-T41+U41</f>
        <v/>
      </c>
      <c r="W41" s="22">
        <f>IFERROR(V41/S41,"")</f>
        <v/>
      </c>
    </row>
    <row r="42">
      <c r="A42" s="8" t="inlineStr">
        <is>
          <t>Widest</t>
        </is>
      </c>
      <c r="B42" s="17">
        <f>VLOOKUP(A42,'Target Groups'!$A$5:$C$9,3,FALSE)</f>
        <v/>
      </c>
      <c r="C42" s="19" t="n">
        <v>5</v>
      </c>
      <c r="D42" s="8" t="inlineStr">
        <is>
          <t>Base</t>
        </is>
      </c>
      <c r="E42" s="20">
        <f>INDEX(Inputs!$B$25:$D$25,1,MATCH($D42,Inputs!$B$24:$D$24,0))</f>
        <v/>
      </c>
      <c r="F42" s="17">
        <f>B42*E42</f>
        <v/>
      </c>
      <c r="G42" s="20">
        <f>INDEX(Inputs!$B$26:$D$26,1,MATCH($D42,Inputs!$B$24:$D$24,0))</f>
        <v/>
      </c>
      <c r="H42" s="17">
        <f>F42*G42</f>
        <v/>
      </c>
      <c r="I42" s="21">
        <f>INDEX(Inputs!$B$27:$D$27,1,MATCH($D42,Inputs!$B$24:$D$24,0))</f>
        <v/>
      </c>
      <c r="J42" s="17">
        <f>H42*I42</f>
        <v/>
      </c>
      <c r="K42" s="22">
        <f>J42*C42</f>
        <v/>
      </c>
      <c r="L42" s="22">
        <f>K42*Inputs!$B$11</f>
        <v/>
      </c>
      <c r="M42" s="22">
        <f>B42*Inputs!$B$13</f>
        <v/>
      </c>
      <c r="N42" s="22">
        <f>L42+M42+Inputs!$B$14</f>
        <v/>
      </c>
      <c r="O42" s="22">
        <f>N42/Inputs!$B$5</f>
        <v/>
      </c>
      <c r="P42" s="22">
        <f>Inputs!$B$6-O42</f>
        <v/>
      </c>
      <c r="Q42" s="17">
        <f>F42*Inputs!$B$20</f>
        <v/>
      </c>
      <c r="R42" s="20">
        <f>INDEX(Inputs!$B$28:$D$28,1,MATCH($D42,Inputs!$B$24:$D$24,0))</f>
        <v/>
      </c>
      <c r="S42" s="17">
        <f>J42*R42</f>
        <v/>
      </c>
      <c r="T42" s="22">
        <f>S42*Inputs!$B$17*Inputs!$B$18</f>
        <v/>
      </c>
      <c r="U42" s="22">
        <f>S42*Inputs!$B$19</f>
        <v/>
      </c>
      <c r="V42" s="22">
        <f>N42-T42+U42</f>
        <v/>
      </c>
      <c r="W42" s="22">
        <f>IFERROR(V42/S42,"")</f>
        <v/>
      </c>
    </row>
    <row r="43">
      <c r="A43" s="8" t="inlineStr">
        <is>
          <t>Widest</t>
        </is>
      </c>
      <c r="B43" s="17">
        <f>VLOOKUP(A43,'Target Groups'!$A$5:$C$9,3,FALSE)</f>
        <v/>
      </c>
      <c r="C43" s="19" t="n">
        <v>5</v>
      </c>
      <c r="D43" s="8" t="inlineStr">
        <is>
          <t>High</t>
        </is>
      </c>
      <c r="E43" s="20">
        <f>INDEX(Inputs!$B$25:$D$25,1,MATCH($D43,Inputs!$B$24:$D$24,0))</f>
        <v/>
      </c>
      <c r="F43" s="17">
        <f>B43*E43</f>
        <v/>
      </c>
      <c r="G43" s="20">
        <f>INDEX(Inputs!$B$26:$D$26,1,MATCH($D43,Inputs!$B$24:$D$24,0))</f>
        <v/>
      </c>
      <c r="H43" s="17">
        <f>F43*G43</f>
        <v/>
      </c>
      <c r="I43" s="21">
        <f>INDEX(Inputs!$B$27:$D$27,1,MATCH($D43,Inputs!$B$24:$D$24,0))</f>
        <v/>
      </c>
      <c r="J43" s="17">
        <f>H43*I43</f>
        <v/>
      </c>
      <c r="K43" s="22">
        <f>J43*C43</f>
        <v/>
      </c>
      <c r="L43" s="22">
        <f>K43*Inputs!$B$11</f>
        <v/>
      </c>
      <c r="M43" s="22">
        <f>B43*Inputs!$B$13</f>
        <v/>
      </c>
      <c r="N43" s="22">
        <f>L43+M43+Inputs!$B$14</f>
        <v/>
      </c>
      <c r="O43" s="22">
        <f>N43/Inputs!$B$5</f>
        <v/>
      </c>
      <c r="P43" s="22">
        <f>Inputs!$B$6-O43</f>
        <v/>
      </c>
      <c r="Q43" s="17">
        <f>F43*Inputs!$B$20</f>
        <v/>
      </c>
      <c r="R43" s="20">
        <f>INDEX(Inputs!$B$28:$D$28,1,MATCH($D43,Inputs!$B$24:$D$24,0))</f>
        <v/>
      </c>
      <c r="S43" s="17">
        <f>J43*R43</f>
        <v/>
      </c>
      <c r="T43" s="22">
        <f>S43*Inputs!$B$17*Inputs!$B$18</f>
        <v/>
      </c>
      <c r="U43" s="22">
        <f>S43*Inputs!$B$19</f>
        <v/>
      </c>
      <c r="V43" s="22">
        <f>N43-T43+U43</f>
        <v/>
      </c>
      <c r="W43" s="22">
        <f>IFERROR(V43/S43,"")</f>
        <v/>
      </c>
    </row>
    <row r="44">
      <c r="A44" s="8" t="inlineStr">
        <is>
          <t>Widest</t>
        </is>
      </c>
      <c r="B44" s="17">
        <f>VLOOKUP(A44,'Target Groups'!$A$5:$C$9,3,FALSE)</f>
        <v/>
      </c>
      <c r="C44" s="19" t="n">
        <v>7</v>
      </c>
      <c r="D44" s="8" t="inlineStr">
        <is>
          <t>Low</t>
        </is>
      </c>
      <c r="E44" s="20">
        <f>INDEX(Inputs!$B$25:$D$25,1,MATCH($D44,Inputs!$B$24:$D$24,0))</f>
        <v/>
      </c>
      <c r="F44" s="17">
        <f>B44*E44</f>
        <v/>
      </c>
      <c r="G44" s="20">
        <f>INDEX(Inputs!$B$26:$D$26,1,MATCH($D44,Inputs!$B$24:$D$24,0))</f>
        <v/>
      </c>
      <c r="H44" s="17">
        <f>F44*G44</f>
        <v/>
      </c>
      <c r="I44" s="21">
        <f>INDEX(Inputs!$B$27:$D$27,1,MATCH($D44,Inputs!$B$24:$D$24,0))</f>
        <v/>
      </c>
      <c r="J44" s="17">
        <f>H44*I44</f>
        <v/>
      </c>
      <c r="K44" s="22">
        <f>J44*C44</f>
        <v/>
      </c>
      <c r="L44" s="22">
        <f>K44*Inputs!$B$11</f>
        <v/>
      </c>
      <c r="M44" s="22">
        <f>B44*Inputs!$B$13</f>
        <v/>
      </c>
      <c r="N44" s="22">
        <f>L44+M44+Inputs!$B$14</f>
        <v/>
      </c>
      <c r="O44" s="22">
        <f>N44/Inputs!$B$5</f>
        <v/>
      </c>
      <c r="P44" s="22">
        <f>Inputs!$B$6-O44</f>
        <v/>
      </c>
      <c r="Q44" s="17">
        <f>F44*Inputs!$B$20</f>
        <v/>
      </c>
      <c r="R44" s="20">
        <f>INDEX(Inputs!$B$28:$D$28,1,MATCH($D44,Inputs!$B$24:$D$24,0))</f>
        <v/>
      </c>
      <c r="S44" s="17">
        <f>J44*R44</f>
        <v/>
      </c>
      <c r="T44" s="22">
        <f>S44*Inputs!$B$17*Inputs!$B$18</f>
        <v/>
      </c>
      <c r="U44" s="22">
        <f>S44*Inputs!$B$19</f>
        <v/>
      </c>
      <c r="V44" s="22">
        <f>N44-T44+U44</f>
        <v/>
      </c>
      <c r="W44" s="22">
        <f>IFERROR(V44/S44,"")</f>
        <v/>
      </c>
    </row>
    <row r="45">
      <c r="A45" s="8" t="inlineStr">
        <is>
          <t>Widest</t>
        </is>
      </c>
      <c r="B45" s="17">
        <f>VLOOKUP(A45,'Target Groups'!$A$5:$C$9,3,FALSE)</f>
        <v/>
      </c>
      <c r="C45" s="19" t="n">
        <v>7</v>
      </c>
      <c r="D45" s="8" t="inlineStr">
        <is>
          <t>Base</t>
        </is>
      </c>
      <c r="E45" s="20">
        <f>INDEX(Inputs!$B$25:$D$25,1,MATCH($D45,Inputs!$B$24:$D$24,0))</f>
        <v/>
      </c>
      <c r="F45" s="17">
        <f>B45*E45</f>
        <v/>
      </c>
      <c r="G45" s="20">
        <f>INDEX(Inputs!$B$26:$D$26,1,MATCH($D45,Inputs!$B$24:$D$24,0))</f>
        <v/>
      </c>
      <c r="H45" s="17">
        <f>F45*G45</f>
        <v/>
      </c>
      <c r="I45" s="21">
        <f>INDEX(Inputs!$B$27:$D$27,1,MATCH($D45,Inputs!$B$24:$D$24,0))</f>
        <v/>
      </c>
      <c r="J45" s="17">
        <f>H45*I45</f>
        <v/>
      </c>
      <c r="K45" s="22">
        <f>J45*C45</f>
        <v/>
      </c>
      <c r="L45" s="22">
        <f>K45*Inputs!$B$11</f>
        <v/>
      </c>
      <c r="M45" s="22">
        <f>B45*Inputs!$B$13</f>
        <v/>
      </c>
      <c r="N45" s="22">
        <f>L45+M45+Inputs!$B$14</f>
        <v/>
      </c>
      <c r="O45" s="22">
        <f>N45/Inputs!$B$5</f>
        <v/>
      </c>
      <c r="P45" s="22">
        <f>Inputs!$B$6-O45</f>
        <v/>
      </c>
      <c r="Q45" s="17">
        <f>F45*Inputs!$B$20</f>
        <v/>
      </c>
      <c r="R45" s="20">
        <f>INDEX(Inputs!$B$28:$D$28,1,MATCH($D45,Inputs!$B$24:$D$24,0))</f>
        <v/>
      </c>
      <c r="S45" s="17">
        <f>J45*R45</f>
        <v/>
      </c>
      <c r="T45" s="22">
        <f>S45*Inputs!$B$17*Inputs!$B$18</f>
        <v/>
      </c>
      <c r="U45" s="22">
        <f>S45*Inputs!$B$19</f>
        <v/>
      </c>
      <c r="V45" s="22">
        <f>N45-T45+U45</f>
        <v/>
      </c>
      <c r="W45" s="22">
        <f>IFERROR(V45/S45,"")</f>
        <v/>
      </c>
    </row>
    <row r="46">
      <c r="A46" s="8" t="inlineStr">
        <is>
          <t>Widest</t>
        </is>
      </c>
      <c r="B46" s="17">
        <f>VLOOKUP(A46,'Target Groups'!$A$5:$C$9,3,FALSE)</f>
        <v/>
      </c>
      <c r="C46" s="19" t="n">
        <v>7</v>
      </c>
      <c r="D46" s="8" t="inlineStr">
        <is>
          <t>High</t>
        </is>
      </c>
      <c r="E46" s="20">
        <f>INDEX(Inputs!$B$25:$D$25,1,MATCH($D46,Inputs!$B$24:$D$24,0))</f>
        <v/>
      </c>
      <c r="F46" s="17">
        <f>B46*E46</f>
        <v/>
      </c>
      <c r="G46" s="20">
        <f>INDEX(Inputs!$B$26:$D$26,1,MATCH($D46,Inputs!$B$24:$D$24,0))</f>
        <v/>
      </c>
      <c r="H46" s="17">
        <f>F46*G46</f>
        <v/>
      </c>
      <c r="I46" s="21">
        <f>INDEX(Inputs!$B$27:$D$27,1,MATCH($D46,Inputs!$B$24:$D$24,0))</f>
        <v/>
      </c>
      <c r="J46" s="17">
        <f>H46*I46</f>
        <v/>
      </c>
      <c r="K46" s="22">
        <f>J46*C46</f>
        <v/>
      </c>
      <c r="L46" s="22">
        <f>K46*Inputs!$B$11</f>
        <v/>
      </c>
      <c r="M46" s="22">
        <f>B46*Inputs!$B$13</f>
        <v/>
      </c>
      <c r="N46" s="22">
        <f>L46+M46+Inputs!$B$14</f>
        <v/>
      </c>
      <c r="O46" s="22">
        <f>N46/Inputs!$B$5</f>
        <v/>
      </c>
      <c r="P46" s="22">
        <f>Inputs!$B$6-O46</f>
        <v/>
      </c>
      <c r="Q46" s="17">
        <f>F46*Inputs!$B$20</f>
        <v/>
      </c>
      <c r="R46" s="20">
        <f>INDEX(Inputs!$B$28:$D$28,1,MATCH($D46,Inputs!$B$24:$D$24,0))</f>
        <v/>
      </c>
      <c r="S46" s="17">
        <f>J46*R46</f>
        <v/>
      </c>
      <c r="T46" s="22">
        <f>S46*Inputs!$B$17*Inputs!$B$18</f>
        <v/>
      </c>
      <c r="U46" s="22">
        <f>S46*Inputs!$B$19</f>
        <v/>
      </c>
      <c r="V46" s="22">
        <f>N46-T46+U46</f>
        <v/>
      </c>
      <c r="W46" s="22">
        <f>IFERROR(V46/S46,"")</f>
        <v/>
      </c>
    </row>
    <row r="47">
      <c r="A47" s="8" t="inlineStr">
        <is>
          <t>Widest</t>
        </is>
      </c>
      <c r="B47" s="17">
        <f>VLOOKUP(A47,'Target Groups'!$A$5:$C$9,3,FALSE)</f>
        <v/>
      </c>
      <c r="C47" s="19" t="n">
        <v>10</v>
      </c>
      <c r="D47" s="8" t="inlineStr">
        <is>
          <t>Low</t>
        </is>
      </c>
      <c r="E47" s="20">
        <f>INDEX(Inputs!$B$25:$D$25,1,MATCH($D47,Inputs!$B$24:$D$24,0))</f>
        <v/>
      </c>
      <c r="F47" s="17">
        <f>B47*E47</f>
        <v/>
      </c>
      <c r="G47" s="20">
        <f>INDEX(Inputs!$B$26:$D$26,1,MATCH($D47,Inputs!$B$24:$D$24,0))</f>
        <v/>
      </c>
      <c r="H47" s="17">
        <f>F47*G47</f>
        <v/>
      </c>
      <c r="I47" s="21">
        <f>INDEX(Inputs!$B$27:$D$27,1,MATCH($D47,Inputs!$B$24:$D$24,0))</f>
        <v/>
      </c>
      <c r="J47" s="17">
        <f>H47*I47</f>
        <v/>
      </c>
      <c r="K47" s="22">
        <f>J47*C47</f>
        <v/>
      </c>
      <c r="L47" s="22">
        <f>K47*Inputs!$B$11</f>
        <v/>
      </c>
      <c r="M47" s="22">
        <f>B47*Inputs!$B$13</f>
        <v/>
      </c>
      <c r="N47" s="22">
        <f>L47+M47+Inputs!$B$14</f>
        <v/>
      </c>
      <c r="O47" s="22">
        <f>N47/Inputs!$B$5</f>
        <v/>
      </c>
      <c r="P47" s="22">
        <f>Inputs!$B$6-O47</f>
        <v/>
      </c>
      <c r="Q47" s="17">
        <f>F47*Inputs!$B$20</f>
        <v/>
      </c>
      <c r="R47" s="20">
        <f>INDEX(Inputs!$B$28:$D$28,1,MATCH($D47,Inputs!$B$24:$D$24,0))</f>
        <v/>
      </c>
      <c r="S47" s="17">
        <f>J47*R47</f>
        <v/>
      </c>
      <c r="T47" s="22">
        <f>S47*Inputs!$B$17*Inputs!$B$18</f>
        <v/>
      </c>
      <c r="U47" s="22">
        <f>S47*Inputs!$B$19</f>
        <v/>
      </c>
      <c r="V47" s="22">
        <f>N47-T47+U47</f>
        <v/>
      </c>
      <c r="W47" s="22">
        <f>IFERROR(V47/S47,"")</f>
        <v/>
      </c>
    </row>
    <row r="48">
      <c r="A48" s="8" t="inlineStr">
        <is>
          <t>Widest</t>
        </is>
      </c>
      <c r="B48" s="17">
        <f>VLOOKUP(A48,'Target Groups'!$A$5:$C$9,3,FALSE)</f>
        <v/>
      </c>
      <c r="C48" s="19" t="n">
        <v>10</v>
      </c>
      <c r="D48" s="8" t="inlineStr">
        <is>
          <t>Base</t>
        </is>
      </c>
      <c r="E48" s="20">
        <f>INDEX(Inputs!$B$25:$D$25,1,MATCH($D48,Inputs!$B$24:$D$24,0))</f>
        <v/>
      </c>
      <c r="F48" s="17">
        <f>B48*E48</f>
        <v/>
      </c>
      <c r="G48" s="20">
        <f>INDEX(Inputs!$B$26:$D$26,1,MATCH($D48,Inputs!$B$24:$D$24,0))</f>
        <v/>
      </c>
      <c r="H48" s="17">
        <f>F48*G48</f>
        <v/>
      </c>
      <c r="I48" s="21">
        <f>INDEX(Inputs!$B$27:$D$27,1,MATCH($D48,Inputs!$B$24:$D$24,0))</f>
        <v/>
      </c>
      <c r="J48" s="17">
        <f>H48*I48</f>
        <v/>
      </c>
      <c r="K48" s="22">
        <f>J48*C48</f>
        <v/>
      </c>
      <c r="L48" s="22">
        <f>K48*Inputs!$B$11</f>
        <v/>
      </c>
      <c r="M48" s="22">
        <f>B48*Inputs!$B$13</f>
        <v/>
      </c>
      <c r="N48" s="22">
        <f>L48+M48+Inputs!$B$14</f>
        <v/>
      </c>
      <c r="O48" s="22">
        <f>N48/Inputs!$B$5</f>
        <v/>
      </c>
      <c r="P48" s="22">
        <f>Inputs!$B$6-O48</f>
        <v/>
      </c>
      <c r="Q48" s="17">
        <f>F48*Inputs!$B$20</f>
        <v/>
      </c>
      <c r="R48" s="20">
        <f>INDEX(Inputs!$B$28:$D$28,1,MATCH($D48,Inputs!$B$24:$D$24,0))</f>
        <v/>
      </c>
      <c r="S48" s="17">
        <f>J48*R48</f>
        <v/>
      </c>
      <c r="T48" s="22">
        <f>S48*Inputs!$B$17*Inputs!$B$18</f>
        <v/>
      </c>
      <c r="U48" s="22">
        <f>S48*Inputs!$B$19</f>
        <v/>
      </c>
      <c r="V48" s="22">
        <f>N48-T48+U48</f>
        <v/>
      </c>
      <c r="W48" s="22">
        <f>IFERROR(V48/S48,"")</f>
        <v/>
      </c>
    </row>
    <row r="49">
      <c r="A49" s="8" t="inlineStr">
        <is>
          <t>Widest</t>
        </is>
      </c>
      <c r="B49" s="17">
        <f>VLOOKUP(A49,'Target Groups'!$A$5:$C$9,3,FALSE)</f>
        <v/>
      </c>
      <c r="C49" s="19" t="n">
        <v>10</v>
      </c>
      <c r="D49" s="8" t="inlineStr">
        <is>
          <t>High</t>
        </is>
      </c>
      <c r="E49" s="20">
        <f>INDEX(Inputs!$B$25:$D$25,1,MATCH($D49,Inputs!$B$24:$D$24,0))</f>
        <v/>
      </c>
      <c r="F49" s="17">
        <f>B49*E49</f>
        <v/>
      </c>
      <c r="G49" s="20">
        <f>INDEX(Inputs!$B$26:$D$26,1,MATCH($D49,Inputs!$B$24:$D$24,0))</f>
        <v/>
      </c>
      <c r="H49" s="17">
        <f>F49*G49</f>
        <v/>
      </c>
      <c r="I49" s="21">
        <f>INDEX(Inputs!$B$27:$D$27,1,MATCH($D49,Inputs!$B$24:$D$24,0))</f>
        <v/>
      </c>
      <c r="J49" s="17">
        <f>H49*I49</f>
        <v/>
      </c>
      <c r="K49" s="22">
        <f>J49*C49</f>
        <v/>
      </c>
      <c r="L49" s="22">
        <f>K49*Inputs!$B$11</f>
        <v/>
      </c>
      <c r="M49" s="22">
        <f>B49*Inputs!$B$13</f>
        <v/>
      </c>
      <c r="N49" s="22">
        <f>L49+M49+Inputs!$B$14</f>
        <v/>
      </c>
      <c r="O49" s="22">
        <f>N49/Inputs!$B$5</f>
        <v/>
      </c>
      <c r="P49" s="22">
        <f>Inputs!$B$6-O49</f>
        <v/>
      </c>
      <c r="Q49" s="17">
        <f>F49*Inputs!$B$20</f>
        <v/>
      </c>
      <c r="R49" s="20">
        <f>INDEX(Inputs!$B$28:$D$28,1,MATCH($D49,Inputs!$B$24:$D$24,0))</f>
        <v/>
      </c>
      <c r="S49" s="17">
        <f>J49*R49</f>
        <v/>
      </c>
      <c r="T49" s="22">
        <f>S49*Inputs!$B$17*Inputs!$B$18</f>
        <v/>
      </c>
      <c r="U49" s="22">
        <f>S49*Inputs!$B$19</f>
        <v/>
      </c>
      <c r="V49" s="22">
        <f>N49-T49+U49</f>
        <v/>
      </c>
      <c r="W49" s="22">
        <f>IFERROR(V49/S49,"")</f>
        <v/>
      </c>
    </row>
  </sheetData>
  <autoFilter ref="A4:W49"/>
  <mergeCells count="1">
    <mergeCell ref="A2:W2"/>
  </mergeCells>
  <conditionalFormatting sqref="P5:P4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8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Monthly Phasing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Two-month spend phasing from Inputs. Negative monthly headroom indicates a budget gap.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4" t="inlineStr">
        <is>
          <t>Group</t>
        </is>
      </c>
      <c r="B4" s="14" t="inlineStr">
        <is>
          <t>Voucher value</t>
        </is>
      </c>
      <c r="C4" s="14" t="inlineStr">
        <is>
          <t>Scenario</t>
        </is>
      </c>
      <c r="D4" s="14" t="inlineStr">
        <is>
          <t>Total investment</t>
        </is>
      </c>
      <c r="E4" s="14" t="inlineStr">
        <is>
          <t>Month 1 weight</t>
        </is>
      </c>
      <c r="F4" s="14" t="inlineStr">
        <is>
          <t>Month 1 cost</t>
        </is>
      </c>
      <c r="G4" s="14" t="inlineStr">
        <is>
          <t>Month 1 headroom</t>
        </is>
      </c>
      <c r="H4" s="14" t="inlineStr">
        <is>
          <t>Month 2 weight</t>
        </is>
      </c>
      <c r="I4" s="14" t="inlineStr">
        <is>
          <t>Month 2 cost</t>
        </is>
      </c>
      <c r="J4" s="14" t="inlineStr">
        <is>
          <t>Month 2 headroom</t>
        </is>
      </c>
    </row>
    <row r="5">
      <c r="A5" s="8" t="inlineStr">
        <is>
          <t>Medium</t>
        </is>
      </c>
      <c r="B5" s="19" t="n">
        <v>5</v>
      </c>
      <c r="C5" s="8" t="inlineStr">
        <is>
          <t>Low</t>
        </is>
      </c>
      <c r="D5" s="22">
        <f>SUMIFS('Scenario Builder'!$N$5:$N$49,'Scenario Builder'!$A$5:$A$49,A5,'Scenario Builder'!$C$5:$C$49,B5,'Scenario Builder'!$D$5:$D$49,C5)</f>
        <v/>
      </c>
      <c r="E5" s="20">
        <f>Inputs!$B$7</f>
        <v/>
      </c>
      <c r="F5" s="22">
        <f>D5*E5</f>
        <v/>
      </c>
      <c r="G5" s="22">
        <f>Inputs!$B$6-F5</f>
        <v/>
      </c>
      <c r="H5" s="20">
        <f>Inputs!$B$8</f>
        <v/>
      </c>
      <c r="I5" s="22">
        <f>D5*H5</f>
        <v/>
      </c>
      <c r="J5" s="22">
        <f>Inputs!$B$6-I5</f>
        <v/>
      </c>
    </row>
    <row r="6">
      <c r="A6" s="8" t="inlineStr">
        <is>
          <t>Medium</t>
        </is>
      </c>
      <c r="B6" s="19" t="n">
        <v>5</v>
      </c>
      <c r="C6" s="8" t="inlineStr">
        <is>
          <t>Base</t>
        </is>
      </c>
      <c r="D6" s="22">
        <f>SUMIFS('Scenario Builder'!$N$5:$N$49,'Scenario Builder'!$A$5:$A$49,A6,'Scenario Builder'!$C$5:$C$49,B6,'Scenario Builder'!$D$5:$D$49,C6)</f>
        <v/>
      </c>
      <c r="E6" s="20">
        <f>Inputs!$B$7</f>
        <v/>
      </c>
      <c r="F6" s="22">
        <f>D6*E6</f>
        <v/>
      </c>
      <c r="G6" s="22">
        <f>Inputs!$B$6-F6</f>
        <v/>
      </c>
      <c r="H6" s="20">
        <f>Inputs!$B$8</f>
        <v/>
      </c>
      <c r="I6" s="22">
        <f>D6*H6</f>
        <v/>
      </c>
      <c r="J6" s="22">
        <f>Inputs!$B$6-I6</f>
        <v/>
      </c>
    </row>
    <row r="7">
      <c r="A7" s="8" t="inlineStr">
        <is>
          <t>Medium</t>
        </is>
      </c>
      <c r="B7" s="19" t="n">
        <v>5</v>
      </c>
      <c r="C7" s="8" t="inlineStr">
        <is>
          <t>High</t>
        </is>
      </c>
      <c r="D7" s="22">
        <f>SUMIFS('Scenario Builder'!$N$5:$N$49,'Scenario Builder'!$A$5:$A$49,A7,'Scenario Builder'!$C$5:$C$49,B7,'Scenario Builder'!$D$5:$D$49,C7)</f>
        <v/>
      </c>
      <c r="E7" s="20">
        <f>Inputs!$B$7</f>
        <v/>
      </c>
      <c r="F7" s="22">
        <f>D7*E7</f>
        <v/>
      </c>
      <c r="G7" s="22">
        <f>Inputs!$B$6-F7</f>
        <v/>
      </c>
      <c r="H7" s="20">
        <f>Inputs!$B$8</f>
        <v/>
      </c>
      <c r="I7" s="22">
        <f>D7*H7</f>
        <v/>
      </c>
      <c r="J7" s="22">
        <f>Inputs!$B$6-I7</f>
        <v/>
      </c>
    </row>
    <row r="8">
      <c r="A8" s="8" t="inlineStr">
        <is>
          <t>Medium</t>
        </is>
      </c>
      <c r="B8" s="19" t="n">
        <v>7</v>
      </c>
      <c r="C8" s="8" t="inlineStr">
        <is>
          <t>Low</t>
        </is>
      </c>
      <c r="D8" s="22">
        <f>SUMIFS('Scenario Builder'!$N$5:$N$49,'Scenario Builder'!$A$5:$A$49,A8,'Scenario Builder'!$C$5:$C$49,B8,'Scenario Builder'!$D$5:$D$49,C8)</f>
        <v/>
      </c>
      <c r="E8" s="20">
        <f>Inputs!$B$7</f>
        <v/>
      </c>
      <c r="F8" s="22">
        <f>D8*E8</f>
        <v/>
      </c>
      <c r="G8" s="22">
        <f>Inputs!$B$6-F8</f>
        <v/>
      </c>
      <c r="H8" s="20">
        <f>Inputs!$B$8</f>
        <v/>
      </c>
      <c r="I8" s="22">
        <f>D8*H8</f>
        <v/>
      </c>
      <c r="J8" s="22">
        <f>Inputs!$B$6-I8</f>
        <v/>
      </c>
    </row>
    <row r="9">
      <c r="A9" s="8" t="inlineStr">
        <is>
          <t>Medium</t>
        </is>
      </c>
      <c r="B9" s="19" t="n">
        <v>7</v>
      </c>
      <c r="C9" s="8" t="inlineStr">
        <is>
          <t>Base</t>
        </is>
      </c>
      <c r="D9" s="22">
        <f>SUMIFS('Scenario Builder'!$N$5:$N$49,'Scenario Builder'!$A$5:$A$49,A9,'Scenario Builder'!$C$5:$C$49,B9,'Scenario Builder'!$D$5:$D$49,C9)</f>
        <v/>
      </c>
      <c r="E9" s="20">
        <f>Inputs!$B$7</f>
        <v/>
      </c>
      <c r="F9" s="22">
        <f>D9*E9</f>
        <v/>
      </c>
      <c r="G9" s="22">
        <f>Inputs!$B$6-F9</f>
        <v/>
      </c>
      <c r="H9" s="20">
        <f>Inputs!$B$8</f>
        <v/>
      </c>
      <c r="I9" s="22">
        <f>D9*H9</f>
        <v/>
      </c>
      <c r="J9" s="22">
        <f>Inputs!$B$6-I9</f>
        <v/>
      </c>
    </row>
    <row r="10">
      <c r="A10" s="8" t="inlineStr">
        <is>
          <t>Medium</t>
        </is>
      </c>
      <c r="B10" s="19" t="n">
        <v>7</v>
      </c>
      <c r="C10" s="8" t="inlineStr">
        <is>
          <t>High</t>
        </is>
      </c>
      <c r="D10" s="22">
        <f>SUMIFS('Scenario Builder'!$N$5:$N$49,'Scenario Builder'!$A$5:$A$49,A10,'Scenario Builder'!$C$5:$C$49,B10,'Scenario Builder'!$D$5:$D$49,C10)</f>
        <v/>
      </c>
      <c r="E10" s="20">
        <f>Inputs!$B$7</f>
        <v/>
      </c>
      <c r="F10" s="22">
        <f>D10*E10</f>
        <v/>
      </c>
      <c r="G10" s="22">
        <f>Inputs!$B$6-F10</f>
        <v/>
      </c>
      <c r="H10" s="20">
        <f>Inputs!$B$8</f>
        <v/>
      </c>
      <c r="I10" s="22">
        <f>D10*H10</f>
        <v/>
      </c>
      <c r="J10" s="22">
        <f>Inputs!$B$6-I10</f>
        <v/>
      </c>
    </row>
    <row r="11">
      <c r="A11" s="8" t="inlineStr">
        <is>
          <t>Medium</t>
        </is>
      </c>
      <c r="B11" s="19" t="n">
        <v>10</v>
      </c>
      <c r="C11" s="8" t="inlineStr">
        <is>
          <t>Low</t>
        </is>
      </c>
      <c r="D11" s="22">
        <f>SUMIFS('Scenario Builder'!$N$5:$N$49,'Scenario Builder'!$A$5:$A$49,A11,'Scenario Builder'!$C$5:$C$49,B11,'Scenario Builder'!$D$5:$D$49,C11)</f>
        <v/>
      </c>
      <c r="E11" s="20">
        <f>Inputs!$B$7</f>
        <v/>
      </c>
      <c r="F11" s="22">
        <f>D11*E11</f>
        <v/>
      </c>
      <c r="G11" s="22">
        <f>Inputs!$B$6-F11</f>
        <v/>
      </c>
      <c r="H11" s="20">
        <f>Inputs!$B$8</f>
        <v/>
      </c>
      <c r="I11" s="22">
        <f>D11*H11</f>
        <v/>
      </c>
      <c r="J11" s="22">
        <f>Inputs!$B$6-I11</f>
        <v/>
      </c>
    </row>
    <row r="12">
      <c r="A12" s="8" t="inlineStr">
        <is>
          <t>Medium</t>
        </is>
      </c>
      <c r="B12" s="19" t="n">
        <v>10</v>
      </c>
      <c r="C12" s="8" t="inlineStr">
        <is>
          <t>Base</t>
        </is>
      </c>
      <c r="D12" s="22">
        <f>SUMIFS('Scenario Builder'!$N$5:$N$49,'Scenario Builder'!$A$5:$A$49,A12,'Scenario Builder'!$C$5:$C$49,B12,'Scenario Builder'!$D$5:$D$49,C12)</f>
        <v/>
      </c>
      <c r="E12" s="20">
        <f>Inputs!$B$7</f>
        <v/>
      </c>
      <c r="F12" s="22">
        <f>D12*E12</f>
        <v/>
      </c>
      <c r="G12" s="22">
        <f>Inputs!$B$6-F12</f>
        <v/>
      </c>
      <c r="H12" s="20">
        <f>Inputs!$B$8</f>
        <v/>
      </c>
      <c r="I12" s="22">
        <f>D12*H12</f>
        <v/>
      </c>
      <c r="J12" s="22">
        <f>Inputs!$B$6-I12</f>
        <v/>
      </c>
    </row>
    <row r="13">
      <c r="A13" s="8" t="inlineStr">
        <is>
          <t>Medium</t>
        </is>
      </c>
      <c r="B13" s="19" t="n">
        <v>10</v>
      </c>
      <c r="C13" s="8" t="inlineStr">
        <is>
          <t>High</t>
        </is>
      </c>
      <c r="D13" s="22">
        <f>SUMIFS('Scenario Builder'!$N$5:$N$49,'Scenario Builder'!$A$5:$A$49,A13,'Scenario Builder'!$C$5:$C$49,B13,'Scenario Builder'!$D$5:$D$49,C13)</f>
        <v/>
      </c>
      <c r="E13" s="20">
        <f>Inputs!$B$7</f>
        <v/>
      </c>
      <c r="F13" s="22">
        <f>D13*E13</f>
        <v/>
      </c>
      <c r="G13" s="22">
        <f>Inputs!$B$6-F13</f>
        <v/>
      </c>
      <c r="H13" s="20">
        <f>Inputs!$B$8</f>
        <v/>
      </c>
      <c r="I13" s="22">
        <f>D13*H13</f>
        <v/>
      </c>
      <c r="J13" s="22">
        <f>Inputs!$B$6-I13</f>
        <v/>
      </c>
    </row>
    <row r="14">
      <c r="A14" s="8" t="inlineStr">
        <is>
          <t>Broad</t>
        </is>
      </c>
      <c r="B14" s="19" t="n">
        <v>5</v>
      </c>
      <c r="C14" s="8" t="inlineStr">
        <is>
          <t>Low</t>
        </is>
      </c>
      <c r="D14" s="22">
        <f>SUMIFS('Scenario Builder'!$N$5:$N$49,'Scenario Builder'!$A$5:$A$49,A14,'Scenario Builder'!$C$5:$C$49,B14,'Scenario Builder'!$D$5:$D$49,C14)</f>
        <v/>
      </c>
      <c r="E14" s="20">
        <f>Inputs!$B$7</f>
        <v/>
      </c>
      <c r="F14" s="22">
        <f>D14*E14</f>
        <v/>
      </c>
      <c r="G14" s="22">
        <f>Inputs!$B$6-F14</f>
        <v/>
      </c>
      <c r="H14" s="20">
        <f>Inputs!$B$8</f>
        <v/>
      </c>
      <c r="I14" s="22">
        <f>D14*H14</f>
        <v/>
      </c>
      <c r="J14" s="22">
        <f>Inputs!$B$6-I14</f>
        <v/>
      </c>
    </row>
    <row r="15">
      <c r="A15" s="8" t="inlineStr">
        <is>
          <t>Broad</t>
        </is>
      </c>
      <c r="B15" s="19" t="n">
        <v>5</v>
      </c>
      <c r="C15" s="8" t="inlineStr">
        <is>
          <t>Base</t>
        </is>
      </c>
      <c r="D15" s="22">
        <f>SUMIFS('Scenario Builder'!$N$5:$N$49,'Scenario Builder'!$A$5:$A$49,A15,'Scenario Builder'!$C$5:$C$49,B15,'Scenario Builder'!$D$5:$D$49,C15)</f>
        <v/>
      </c>
      <c r="E15" s="20">
        <f>Inputs!$B$7</f>
        <v/>
      </c>
      <c r="F15" s="22">
        <f>D15*E15</f>
        <v/>
      </c>
      <c r="G15" s="22">
        <f>Inputs!$B$6-F15</f>
        <v/>
      </c>
      <c r="H15" s="20">
        <f>Inputs!$B$8</f>
        <v/>
      </c>
      <c r="I15" s="22">
        <f>D15*H15</f>
        <v/>
      </c>
      <c r="J15" s="22">
        <f>Inputs!$B$6-I15</f>
        <v/>
      </c>
    </row>
    <row r="16">
      <c r="A16" s="8" t="inlineStr">
        <is>
          <t>Broad</t>
        </is>
      </c>
      <c r="B16" s="19" t="n">
        <v>5</v>
      </c>
      <c r="C16" s="8" t="inlineStr">
        <is>
          <t>High</t>
        </is>
      </c>
      <c r="D16" s="22">
        <f>SUMIFS('Scenario Builder'!$N$5:$N$49,'Scenario Builder'!$A$5:$A$49,A16,'Scenario Builder'!$C$5:$C$49,B16,'Scenario Builder'!$D$5:$D$49,C16)</f>
        <v/>
      </c>
      <c r="E16" s="20">
        <f>Inputs!$B$7</f>
        <v/>
      </c>
      <c r="F16" s="22">
        <f>D16*E16</f>
        <v/>
      </c>
      <c r="G16" s="22">
        <f>Inputs!$B$6-F16</f>
        <v/>
      </c>
      <c r="H16" s="20">
        <f>Inputs!$B$8</f>
        <v/>
      </c>
      <c r="I16" s="22">
        <f>D16*H16</f>
        <v/>
      </c>
      <c r="J16" s="22">
        <f>Inputs!$B$6-I16</f>
        <v/>
      </c>
    </row>
    <row r="17">
      <c r="A17" s="8" t="inlineStr">
        <is>
          <t>Broad</t>
        </is>
      </c>
      <c r="B17" s="19" t="n">
        <v>7</v>
      </c>
      <c r="C17" s="8" t="inlineStr">
        <is>
          <t>Low</t>
        </is>
      </c>
      <c r="D17" s="22">
        <f>SUMIFS('Scenario Builder'!$N$5:$N$49,'Scenario Builder'!$A$5:$A$49,A17,'Scenario Builder'!$C$5:$C$49,B17,'Scenario Builder'!$D$5:$D$49,C17)</f>
        <v/>
      </c>
      <c r="E17" s="20">
        <f>Inputs!$B$7</f>
        <v/>
      </c>
      <c r="F17" s="22">
        <f>D17*E17</f>
        <v/>
      </c>
      <c r="G17" s="22">
        <f>Inputs!$B$6-F17</f>
        <v/>
      </c>
      <c r="H17" s="20">
        <f>Inputs!$B$8</f>
        <v/>
      </c>
      <c r="I17" s="22">
        <f>D17*H17</f>
        <v/>
      </c>
      <c r="J17" s="22">
        <f>Inputs!$B$6-I17</f>
        <v/>
      </c>
    </row>
    <row r="18">
      <c r="A18" s="8" t="inlineStr">
        <is>
          <t>Broad</t>
        </is>
      </c>
      <c r="B18" s="19" t="n">
        <v>7</v>
      </c>
      <c r="C18" s="8" t="inlineStr">
        <is>
          <t>Base</t>
        </is>
      </c>
      <c r="D18" s="22">
        <f>SUMIFS('Scenario Builder'!$N$5:$N$49,'Scenario Builder'!$A$5:$A$49,A18,'Scenario Builder'!$C$5:$C$49,B18,'Scenario Builder'!$D$5:$D$49,C18)</f>
        <v/>
      </c>
      <c r="E18" s="20">
        <f>Inputs!$B$7</f>
        <v/>
      </c>
      <c r="F18" s="22">
        <f>D18*E18</f>
        <v/>
      </c>
      <c r="G18" s="22">
        <f>Inputs!$B$6-F18</f>
        <v/>
      </c>
      <c r="H18" s="20">
        <f>Inputs!$B$8</f>
        <v/>
      </c>
      <c r="I18" s="22">
        <f>D18*H18</f>
        <v/>
      </c>
      <c r="J18" s="22">
        <f>Inputs!$B$6-I18</f>
        <v/>
      </c>
    </row>
    <row r="19">
      <c r="A19" s="8" t="inlineStr">
        <is>
          <t>Broad</t>
        </is>
      </c>
      <c r="B19" s="19" t="n">
        <v>7</v>
      </c>
      <c r="C19" s="8" t="inlineStr">
        <is>
          <t>High</t>
        </is>
      </c>
      <c r="D19" s="22">
        <f>SUMIFS('Scenario Builder'!$N$5:$N$49,'Scenario Builder'!$A$5:$A$49,A19,'Scenario Builder'!$C$5:$C$49,B19,'Scenario Builder'!$D$5:$D$49,C19)</f>
        <v/>
      </c>
      <c r="E19" s="20">
        <f>Inputs!$B$7</f>
        <v/>
      </c>
      <c r="F19" s="22">
        <f>D19*E19</f>
        <v/>
      </c>
      <c r="G19" s="22">
        <f>Inputs!$B$6-F19</f>
        <v/>
      </c>
      <c r="H19" s="20">
        <f>Inputs!$B$8</f>
        <v/>
      </c>
      <c r="I19" s="22">
        <f>D19*H19</f>
        <v/>
      </c>
      <c r="J19" s="22">
        <f>Inputs!$B$6-I19</f>
        <v/>
      </c>
    </row>
    <row r="20">
      <c r="A20" s="8" t="inlineStr">
        <is>
          <t>Broad</t>
        </is>
      </c>
      <c r="B20" s="19" t="n">
        <v>10</v>
      </c>
      <c r="C20" s="8" t="inlineStr">
        <is>
          <t>Low</t>
        </is>
      </c>
      <c r="D20" s="22">
        <f>SUMIFS('Scenario Builder'!$N$5:$N$49,'Scenario Builder'!$A$5:$A$49,A20,'Scenario Builder'!$C$5:$C$49,B20,'Scenario Builder'!$D$5:$D$49,C20)</f>
        <v/>
      </c>
      <c r="E20" s="20">
        <f>Inputs!$B$7</f>
        <v/>
      </c>
      <c r="F20" s="22">
        <f>D20*E20</f>
        <v/>
      </c>
      <c r="G20" s="22">
        <f>Inputs!$B$6-F20</f>
        <v/>
      </c>
      <c r="H20" s="20">
        <f>Inputs!$B$8</f>
        <v/>
      </c>
      <c r="I20" s="22">
        <f>D20*H20</f>
        <v/>
      </c>
      <c r="J20" s="22">
        <f>Inputs!$B$6-I20</f>
        <v/>
      </c>
    </row>
    <row r="21">
      <c r="A21" s="8" t="inlineStr">
        <is>
          <t>Broad</t>
        </is>
      </c>
      <c r="B21" s="19" t="n">
        <v>10</v>
      </c>
      <c r="C21" s="8" t="inlineStr">
        <is>
          <t>Base</t>
        </is>
      </c>
      <c r="D21" s="22">
        <f>SUMIFS('Scenario Builder'!$N$5:$N$49,'Scenario Builder'!$A$5:$A$49,A21,'Scenario Builder'!$C$5:$C$49,B21,'Scenario Builder'!$D$5:$D$49,C21)</f>
        <v/>
      </c>
      <c r="E21" s="20">
        <f>Inputs!$B$7</f>
        <v/>
      </c>
      <c r="F21" s="22">
        <f>D21*E21</f>
        <v/>
      </c>
      <c r="G21" s="22">
        <f>Inputs!$B$6-F21</f>
        <v/>
      </c>
      <c r="H21" s="20">
        <f>Inputs!$B$8</f>
        <v/>
      </c>
      <c r="I21" s="22">
        <f>D21*H21</f>
        <v/>
      </c>
      <c r="J21" s="22">
        <f>Inputs!$B$6-I21</f>
        <v/>
      </c>
    </row>
    <row r="22">
      <c r="A22" s="8" t="inlineStr">
        <is>
          <t>Broad</t>
        </is>
      </c>
      <c r="B22" s="19" t="n">
        <v>10</v>
      </c>
      <c r="C22" s="8" t="inlineStr">
        <is>
          <t>High</t>
        </is>
      </c>
      <c r="D22" s="22">
        <f>SUMIFS('Scenario Builder'!$N$5:$N$49,'Scenario Builder'!$A$5:$A$49,A22,'Scenario Builder'!$C$5:$C$49,B22,'Scenario Builder'!$D$5:$D$49,C22)</f>
        <v/>
      </c>
      <c r="E22" s="20">
        <f>Inputs!$B$7</f>
        <v/>
      </c>
      <c r="F22" s="22">
        <f>D22*E22</f>
        <v/>
      </c>
      <c r="G22" s="22">
        <f>Inputs!$B$6-F22</f>
        <v/>
      </c>
      <c r="H22" s="20">
        <f>Inputs!$B$8</f>
        <v/>
      </c>
      <c r="I22" s="22">
        <f>D22*H22</f>
        <v/>
      </c>
      <c r="J22" s="22">
        <f>Inputs!$B$6-I22</f>
        <v/>
      </c>
    </row>
    <row r="23">
      <c r="A23" s="8" t="inlineStr">
        <is>
          <t>Widest</t>
        </is>
      </c>
      <c r="B23" s="19" t="n">
        <v>5</v>
      </c>
      <c r="C23" s="8" t="inlineStr">
        <is>
          <t>Low</t>
        </is>
      </c>
      <c r="D23" s="22">
        <f>SUMIFS('Scenario Builder'!$N$5:$N$49,'Scenario Builder'!$A$5:$A$49,A23,'Scenario Builder'!$C$5:$C$49,B23,'Scenario Builder'!$D$5:$D$49,C23)</f>
        <v/>
      </c>
      <c r="E23" s="20">
        <f>Inputs!$B$7</f>
        <v/>
      </c>
      <c r="F23" s="22">
        <f>D23*E23</f>
        <v/>
      </c>
      <c r="G23" s="22">
        <f>Inputs!$B$6-F23</f>
        <v/>
      </c>
      <c r="H23" s="20">
        <f>Inputs!$B$8</f>
        <v/>
      </c>
      <c r="I23" s="22">
        <f>D23*H23</f>
        <v/>
      </c>
      <c r="J23" s="22">
        <f>Inputs!$B$6-I23</f>
        <v/>
      </c>
    </row>
    <row r="24">
      <c r="A24" s="8" t="inlineStr">
        <is>
          <t>Widest</t>
        </is>
      </c>
      <c r="B24" s="19" t="n">
        <v>5</v>
      </c>
      <c r="C24" s="8" t="inlineStr">
        <is>
          <t>Base</t>
        </is>
      </c>
      <c r="D24" s="22">
        <f>SUMIFS('Scenario Builder'!$N$5:$N$49,'Scenario Builder'!$A$5:$A$49,A24,'Scenario Builder'!$C$5:$C$49,B24,'Scenario Builder'!$D$5:$D$49,C24)</f>
        <v/>
      </c>
      <c r="E24" s="20">
        <f>Inputs!$B$7</f>
        <v/>
      </c>
      <c r="F24" s="22">
        <f>D24*E24</f>
        <v/>
      </c>
      <c r="G24" s="22">
        <f>Inputs!$B$6-F24</f>
        <v/>
      </c>
      <c r="H24" s="20">
        <f>Inputs!$B$8</f>
        <v/>
      </c>
      <c r="I24" s="22">
        <f>D24*H24</f>
        <v/>
      </c>
      <c r="J24" s="22">
        <f>Inputs!$B$6-I24</f>
        <v/>
      </c>
    </row>
    <row r="25">
      <c r="A25" s="8" t="inlineStr">
        <is>
          <t>Widest</t>
        </is>
      </c>
      <c r="B25" s="19" t="n">
        <v>5</v>
      </c>
      <c r="C25" s="8" t="inlineStr">
        <is>
          <t>High</t>
        </is>
      </c>
      <c r="D25" s="22">
        <f>SUMIFS('Scenario Builder'!$N$5:$N$49,'Scenario Builder'!$A$5:$A$49,A25,'Scenario Builder'!$C$5:$C$49,B25,'Scenario Builder'!$D$5:$D$49,C25)</f>
        <v/>
      </c>
      <c r="E25" s="20">
        <f>Inputs!$B$7</f>
        <v/>
      </c>
      <c r="F25" s="22">
        <f>D25*E25</f>
        <v/>
      </c>
      <c r="G25" s="22">
        <f>Inputs!$B$6-F25</f>
        <v/>
      </c>
      <c r="H25" s="20">
        <f>Inputs!$B$8</f>
        <v/>
      </c>
      <c r="I25" s="22">
        <f>D25*H25</f>
        <v/>
      </c>
      <c r="J25" s="22">
        <f>Inputs!$B$6-I25</f>
        <v/>
      </c>
    </row>
    <row r="26">
      <c r="A26" s="8" t="inlineStr">
        <is>
          <t>Widest</t>
        </is>
      </c>
      <c r="B26" s="19" t="n">
        <v>7</v>
      </c>
      <c r="C26" s="8" t="inlineStr">
        <is>
          <t>Low</t>
        </is>
      </c>
      <c r="D26" s="22">
        <f>SUMIFS('Scenario Builder'!$N$5:$N$49,'Scenario Builder'!$A$5:$A$49,A26,'Scenario Builder'!$C$5:$C$49,B26,'Scenario Builder'!$D$5:$D$49,C26)</f>
        <v/>
      </c>
      <c r="E26" s="20">
        <f>Inputs!$B$7</f>
        <v/>
      </c>
      <c r="F26" s="22">
        <f>D26*E26</f>
        <v/>
      </c>
      <c r="G26" s="22">
        <f>Inputs!$B$6-F26</f>
        <v/>
      </c>
      <c r="H26" s="20">
        <f>Inputs!$B$8</f>
        <v/>
      </c>
      <c r="I26" s="22">
        <f>D26*H26</f>
        <v/>
      </c>
      <c r="J26" s="22">
        <f>Inputs!$B$6-I26</f>
        <v/>
      </c>
    </row>
    <row r="27">
      <c r="A27" s="8" t="inlineStr">
        <is>
          <t>Widest</t>
        </is>
      </c>
      <c r="B27" s="19" t="n">
        <v>7</v>
      </c>
      <c r="C27" s="8" t="inlineStr">
        <is>
          <t>Base</t>
        </is>
      </c>
      <c r="D27" s="22">
        <f>SUMIFS('Scenario Builder'!$N$5:$N$49,'Scenario Builder'!$A$5:$A$49,A27,'Scenario Builder'!$C$5:$C$49,B27,'Scenario Builder'!$D$5:$D$49,C27)</f>
        <v/>
      </c>
      <c r="E27" s="20">
        <f>Inputs!$B$7</f>
        <v/>
      </c>
      <c r="F27" s="22">
        <f>D27*E27</f>
        <v/>
      </c>
      <c r="G27" s="22">
        <f>Inputs!$B$6-F27</f>
        <v/>
      </c>
      <c r="H27" s="20">
        <f>Inputs!$B$8</f>
        <v/>
      </c>
      <c r="I27" s="22">
        <f>D27*H27</f>
        <v/>
      </c>
      <c r="J27" s="22">
        <f>Inputs!$B$6-I27</f>
        <v/>
      </c>
    </row>
    <row r="28">
      <c r="A28" s="8" t="inlineStr">
        <is>
          <t>Widest</t>
        </is>
      </c>
      <c r="B28" s="19" t="n">
        <v>7</v>
      </c>
      <c r="C28" s="8" t="inlineStr">
        <is>
          <t>High</t>
        </is>
      </c>
      <c r="D28" s="22">
        <f>SUMIFS('Scenario Builder'!$N$5:$N$49,'Scenario Builder'!$A$5:$A$49,A28,'Scenario Builder'!$C$5:$C$49,B28,'Scenario Builder'!$D$5:$D$49,C28)</f>
        <v/>
      </c>
      <c r="E28" s="20">
        <f>Inputs!$B$7</f>
        <v/>
      </c>
      <c r="F28" s="22">
        <f>D28*E28</f>
        <v/>
      </c>
      <c r="G28" s="22">
        <f>Inputs!$B$6-F28</f>
        <v/>
      </c>
      <c r="H28" s="20">
        <f>Inputs!$B$8</f>
        <v/>
      </c>
      <c r="I28" s="22">
        <f>D28*H28</f>
        <v/>
      </c>
      <c r="J28" s="22">
        <f>Inputs!$B$6-I28</f>
        <v/>
      </c>
    </row>
    <row r="29">
      <c r="A29" s="8" t="inlineStr">
        <is>
          <t>Widest</t>
        </is>
      </c>
      <c r="B29" s="19" t="n">
        <v>10</v>
      </c>
      <c r="C29" s="8" t="inlineStr">
        <is>
          <t>Low</t>
        </is>
      </c>
      <c r="D29" s="22">
        <f>SUMIFS('Scenario Builder'!$N$5:$N$49,'Scenario Builder'!$A$5:$A$49,A29,'Scenario Builder'!$C$5:$C$49,B29,'Scenario Builder'!$D$5:$D$49,C29)</f>
        <v/>
      </c>
      <c r="E29" s="20">
        <f>Inputs!$B$7</f>
        <v/>
      </c>
      <c r="F29" s="22">
        <f>D29*E29</f>
        <v/>
      </c>
      <c r="G29" s="22">
        <f>Inputs!$B$6-F29</f>
        <v/>
      </c>
      <c r="H29" s="20">
        <f>Inputs!$B$8</f>
        <v/>
      </c>
      <c r="I29" s="22">
        <f>D29*H29</f>
        <v/>
      </c>
      <c r="J29" s="22">
        <f>Inputs!$B$6-I29</f>
        <v/>
      </c>
    </row>
    <row r="30">
      <c r="A30" s="8" t="inlineStr">
        <is>
          <t>Widest</t>
        </is>
      </c>
      <c r="B30" s="19" t="n">
        <v>10</v>
      </c>
      <c r="C30" s="8" t="inlineStr">
        <is>
          <t>Base</t>
        </is>
      </c>
      <c r="D30" s="22">
        <f>SUMIFS('Scenario Builder'!$N$5:$N$49,'Scenario Builder'!$A$5:$A$49,A30,'Scenario Builder'!$C$5:$C$49,B30,'Scenario Builder'!$D$5:$D$49,C30)</f>
        <v/>
      </c>
      <c r="E30" s="20">
        <f>Inputs!$B$7</f>
        <v/>
      </c>
      <c r="F30" s="22">
        <f>D30*E30</f>
        <v/>
      </c>
      <c r="G30" s="22">
        <f>Inputs!$B$6-F30</f>
        <v/>
      </c>
      <c r="H30" s="20">
        <f>Inputs!$B$8</f>
        <v/>
      </c>
      <c r="I30" s="22">
        <f>D30*H30</f>
        <v/>
      </c>
      <c r="J30" s="22">
        <f>Inputs!$B$6-I30</f>
        <v/>
      </c>
    </row>
    <row r="31">
      <c r="A31" s="8" t="inlineStr">
        <is>
          <t>Widest</t>
        </is>
      </c>
      <c r="B31" s="19" t="n">
        <v>10</v>
      </c>
      <c r="C31" s="8" t="inlineStr">
        <is>
          <t>High</t>
        </is>
      </c>
      <c r="D31" s="22">
        <f>SUMIFS('Scenario Builder'!$N$5:$N$49,'Scenario Builder'!$A$5:$A$49,A31,'Scenario Builder'!$C$5:$C$49,B31,'Scenario Builder'!$D$5:$D$49,C31)</f>
        <v/>
      </c>
      <c r="E31" s="20">
        <f>Inputs!$B$7</f>
        <v/>
      </c>
      <c r="F31" s="22">
        <f>D31*E31</f>
        <v/>
      </c>
      <c r="G31" s="22">
        <f>Inputs!$B$6-F31</f>
        <v/>
      </c>
      <c r="H31" s="20">
        <f>Inputs!$B$8</f>
        <v/>
      </c>
      <c r="I31" s="22">
        <f>D31*H31</f>
        <v/>
      </c>
      <c r="J31" s="22">
        <f>Inputs!$B$6-I31</f>
        <v/>
      </c>
    </row>
  </sheetData>
  <autoFilter ref="A4:J31"/>
  <mergeCells count="1">
    <mergeCell ref="A2:J2"/>
  </mergeCells>
  <conditionalFormatting sqref="G5:G31">
    <cfRule type="cellIs" priority="1" operator="lessThan" dxfId="0">
      <formula>0</formula>
    </cfRule>
  </conditionalFormatting>
  <conditionalFormatting sqref="J5:J31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Sensitivity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Stress-test total investment and net cost for the selected group/scenario in Inputs.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3" t="inlineStr">
        <is>
          <t>Selected group</t>
        </is>
      </c>
      <c r="B4" s="24">
        <f>Inputs!$B$32</f>
        <v/>
      </c>
      <c r="C4" s="2" t="n"/>
      <c r="D4" s="2" t="n"/>
      <c r="E4" s="2" t="n"/>
      <c r="F4" s="2" t="n"/>
      <c r="G4" s="2" t="n"/>
      <c r="H4" s="2" t="n"/>
    </row>
    <row r="5">
      <c r="A5" s="23" t="inlineStr">
        <is>
          <t>Selected scenario</t>
        </is>
      </c>
      <c r="B5" s="24">
        <f>Inputs!$B$33</f>
        <v/>
      </c>
      <c r="C5" s="2" t="n"/>
      <c r="D5" s="2" t="n"/>
      <c r="E5" s="2" t="n"/>
      <c r="F5" s="2" t="n"/>
      <c r="G5" s="2" t="n"/>
      <c r="H5" s="2" t="n"/>
    </row>
    <row r="6">
      <c r="A6" s="23" t="inlineStr">
        <is>
          <t>Target customers</t>
        </is>
      </c>
      <c r="B6" s="17">
        <f>VLOOKUP(B4,'Target Groups'!$A$5:$C$9,3,FALSE)</f>
        <v/>
      </c>
      <c r="C6" s="2" t="n"/>
      <c r="D6" s="2" t="n"/>
      <c r="E6" s="2" t="n"/>
      <c r="F6" s="2" t="n"/>
      <c r="G6" s="2" t="n"/>
      <c r="H6" s="2" t="n"/>
    </row>
    <row r="7">
      <c r="A7" s="23" t="inlineStr">
        <is>
          <t>Reachable rate</t>
        </is>
      </c>
      <c r="B7" s="20">
        <f>INDEX(Inputs!$B$25:$D$25,1,MATCH(B5,Inputs!$B$24:$D$24,0))</f>
        <v/>
      </c>
      <c r="C7" s="2" t="n"/>
      <c r="D7" s="2" t="n"/>
      <c r="E7" s="2" t="n"/>
      <c r="F7" s="2" t="n"/>
      <c r="G7" s="2" t="n"/>
      <c r="H7" s="2" t="n"/>
    </row>
    <row r="8">
      <c r="A8" s="23" t="inlineStr">
        <is>
          <t>Avg claims / redeemer</t>
        </is>
      </c>
      <c r="B8" s="21">
        <f>INDEX(Inputs!$B$27:$D$27,1,MATCH(B5,Inputs!$B$24:$D$24,0))</f>
        <v/>
      </c>
      <c r="C8" s="2" t="n"/>
      <c r="D8" s="2" t="n"/>
      <c r="E8" s="2" t="n"/>
      <c r="F8" s="2" t="n"/>
      <c r="G8" s="2" t="n"/>
      <c r="H8" s="2" t="n"/>
    </row>
    <row r="9">
      <c r="A9" s="23" t="inlineStr">
        <is>
          <t>Incrementality</t>
        </is>
      </c>
      <c r="B9" s="20">
        <f>INDEX(Inputs!$B$28:$D$28,1,MATCH(B5,Inputs!$B$24:$D$24,0))</f>
        <v/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Total investment by voucher value and redemption rate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14" t="inlineStr">
        <is>
          <t>Voucher value</t>
        </is>
      </c>
      <c r="B14" s="25" t="n">
        <v>0.05</v>
      </c>
      <c r="C14" s="25" t="n">
        <v>0.08</v>
      </c>
      <c r="D14" s="25" t="n">
        <v>0.1</v>
      </c>
      <c r="E14" s="25" t="n">
        <v>0.15</v>
      </c>
      <c r="F14" s="25" t="n">
        <v>0.2</v>
      </c>
      <c r="G14" s="25" t="n">
        <v>0.25</v>
      </c>
      <c r="H14" s="25" t="n">
        <v>0.3</v>
      </c>
    </row>
    <row r="15">
      <c r="A15" s="26" t="n">
        <v>5</v>
      </c>
      <c r="B15" s="22">
        <f>($B$6*$B$7*B$14*$B$8*$A15*Inputs!$B$11)+($B$6*Inputs!$B$13)+Inputs!$B$14</f>
        <v/>
      </c>
      <c r="C15" s="22">
        <f>($B$6*$B$7*C$14*$B$8*$A15*Inputs!$B$11)+($B$6*Inputs!$B$13)+Inputs!$B$14</f>
        <v/>
      </c>
      <c r="D15" s="22">
        <f>($B$6*$B$7*D$14*$B$8*$A15*Inputs!$B$11)+($B$6*Inputs!$B$13)+Inputs!$B$14</f>
        <v/>
      </c>
      <c r="E15" s="22">
        <f>($B$6*$B$7*E$14*$B$8*$A15*Inputs!$B$11)+($B$6*Inputs!$B$13)+Inputs!$B$14</f>
        <v/>
      </c>
      <c r="F15" s="22">
        <f>($B$6*$B$7*F$14*$B$8*$A15*Inputs!$B$11)+($B$6*Inputs!$B$13)+Inputs!$B$14</f>
        <v/>
      </c>
      <c r="G15" s="22">
        <f>($B$6*$B$7*G$14*$B$8*$A15*Inputs!$B$11)+($B$6*Inputs!$B$13)+Inputs!$B$14</f>
        <v/>
      </c>
      <c r="H15" s="22">
        <f>($B$6*$B$7*H$14*$B$8*$A15*Inputs!$B$11)+($B$6*Inputs!$B$13)+Inputs!$B$14</f>
        <v/>
      </c>
    </row>
    <row r="16">
      <c r="A16" s="26" t="n">
        <v>7</v>
      </c>
      <c r="B16" s="22">
        <f>($B$6*$B$7*B$14*$B$8*$A16*Inputs!$B$11)+($B$6*Inputs!$B$13)+Inputs!$B$14</f>
        <v/>
      </c>
      <c r="C16" s="22">
        <f>($B$6*$B$7*C$14*$B$8*$A16*Inputs!$B$11)+($B$6*Inputs!$B$13)+Inputs!$B$14</f>
        <v/>
      </c>
      <c r="D16" s="22">
        <f>($B$6*$B$7*D$14*$B$8*$A16*Inputs!$B$11)+($B$6*Inputs!$B$13)+Inputs!$B$14</f>
        <v/>
      </c>
      <c r="E16" s="22">
        <f>($B$6*$B$7*E$14*$B$8*$A16*Inputs!$B$11)+($B$6*Inputs!$B$13)+Inputs!$B$14</f>
        <v/>
      </c>
      <c r="F16" s="22">
        <f>($B$6*$B$7*F$14*$B$8*$A16*Inputs!$B$11)+($B$6*Inputs!$B$13)+Inputs!$B$14</f>
        <v/>
      </c>
      <c r="G16" s="22">
        <f>($B$6*$B$7*G$14*$B$8*$A16*Inputs!$B$11)+($B$6*Inputs!$B$13)+Inputs!$B$14</f>
        <v/>
      </c>
      <c r="H16" s="22">
        <f>($B$6*$B$7*H$14*$B$8*$A16*Inputs!$B$11)+($B$6*Inputs!$B$13)+Inputs!$B$14</f>
        <v/>
      </c>
    </row>
    <row r="17">
      <c r="A17" s="26" t="n">
        <v>10</v>
      </c>
      <c r="B17" s="22">
        <f>($B$6*$B$7*B$14*$B$8*$A17*Inputs!$B$11)+($B$6*Inputs!$B$13)+Inputs!$B$14</f>
        <v/>
      </c>
      <c r="C17" s="22">
        <f>($B$6*$B$7*C$14*$B$8*$A17*Inputs!$B$11)+($B$6*Inputs!$B$13)+Inputs!$B$14</f>
        <v/>
      </c>
      <c r="D17" s="22">
        <f>($B$6*$B$7*D$14*$B$8*$A17*Inputs!$B$11)+($B$6*Inputs!$B$13)+Inputs!$B$14</f>
        <v/>
      </c>
      <c r="E17" s="22">
        <f>($B$6*$B$7*E$14*$B$8*$A17*Inputs!$B$11)+($B$6*Inputs!$B$13)+Inputs!$B$14</f>
        <v/>
      </c>
      <c r="F17" s="22">
        <f>($B$6*$B$7*F$14*$B$8*$A17*Inputs!$B$11)+($B$6*Inputs!$B$13)+Inputs!$B$14</f>
        <v/>
      </c>
      <c r="G17" s="22">
        <f>($B$6*$B$7*G$14*$B$8*$A17*Inputs!$B$11)+($B$6*Inputs!$B$13)+Inputs!$B$14</f>
        <v/>
      </c>
      <c r="H17" s="22">
        <f>($B$6*$B$7*H$14*$B$8*$A17*Inputs!$B$11)+($B$6*Inputs!$B$13)+Inputs!$B$14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Net cost after contribution by voucher value and redemption rate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14" t="inlineStr">
        <is>
          <t>Voucher value</t>
        </is>
      </c>
      <c r="B22" s="25" t="n">
        <v>0.05</v>
      </c>
      <c r="C22" s="25" t="n">
        <v>0.08</v>
      </c>
      <c r="D22" s="25" t="n">
        <v>0.1</v>
      </c>
      <c r="E22" s="25" t="n">
        <v>0.15</v>
      </c>
      <c r="F22" s="25" t="n">
        <v>0.2</v>
      </c>
      <c r="G22" s="25" t="n">
        <v>0.25</v>
      </c>
      <c r="H22" s="25" t="n">
        <v>0.3</v>
      </c>
    </row>
    <row r="23">
      <c r="A23" s="26" t="n">
        <v>5</v>
      </c>
      <c r="B23" s="22">
        <f>B15-(($B$6*$B$7*B$22*$B$8*$B$9)*Inputs!$B$17*Inputs!$B$18)+(($B$6*$B$7*B$22*$B$8*$B$9)*Inputs!$B$19)</f>
        <v/>
      </c>
      <c r="C23" s="22">
        <f>C15-(($B$6*$B$7*C$22*$B$8*$B$9)*Inputs!$B$17*Inputs!$B$18)+(($B$6*$B$7*C$22*$B$8*$B$9)*Inputs!$B$19)</f>
        <v/>
      </c>
      <c r="D23" s="22">
        <f>D15-(($B$6*$B$7*D$22*$B$8*$B$9)*Inputs!$B$17*Inputs!$B$18)+(($B$6*$B$7*D$22*$B$8*$B$9)*Inputs!$B$19)</f>
        <v/>
      </c>
      <c r="E23" s="22">
        <f>E15-(($B$6*$B$7*E$22*$B$8*$B$9)*Inputs!$B$17*Inputs!$B$18)+(($B$6*$B$7*E$22*$B$8*$B$9)*Inputs!$B$19)</f>
        <v/>
      </c>
      <c r="F23" s="22">
        <f>F15-(($B$6*$B$7*F$22*$B$8*$B$9)*Inputs!$B$17*Inputs!$B$18)+(($B$6*$B$7*F$22*$B$8*$B$9)*Inputs!$B$19)</f>
        <v/>
      </c>
      <c r="G23" s="22">
        <f>G15-(($B$6*$B$7*G$22*$B$8*$B$9)*Inputs!$B$17*Inputs!$B$18)+(($B$6*$B$7*G$22*$B$8*$B$9)*Inputs!$B$19)</f>
        <v/>
      </c>
      <c r="H23" s="22">
        <f>H15-(($B$6*$B$7*H$22*$B$8*$B$9)*Inputs!$B$17*Inputs!$B$18)+(($B$6*$B$7*H$22*$B$8*$B$9)*Inputs!$B$19)</f>
        <v/>
      </c>
    </row>
    <row r="24">
      <c r="A24" s="26" t="n">
        <v>7</v>
      </c>
      <c r="B24" s="22">
        <f>B16-(($B$6*$B$7*B$22*$B$8*$B$9)*Inputs!$B$17*Inputs!$B$18)+(($B$6*$B$7*B$22*$B$8*$B$9)*Inputs!$B$19)</f>
        <v/>
      </c>
      <c r="C24" s="22">
        <f>C16-(($B$6*$B$7*C$22*$B$8*$B$9)*Inputs!$B$17*Inputs!$B$18)+(($B$6*$B$7*C$22*$B$8*$B$9)*Inputs!$B$19)</f>
        <v/>
      </c>
      <c r="D24" s="22">
        <f>D16-(($B$6*$B$7*D$22*$B$8*$B$9)*Inputs!$B$17*Inputs!$B$18)+(($B$6*$B$7*D$22*$B$8*$B$9)*Inputs!$B$19)</f>
        <v/>
      </c>
      <c r="E24" s="22">
        <f>E16-(($B$6*$B$7*E$22*$B$8*$B$9)*Inputs!$B$17*Inputs!$B$18)+(($B$6*$B$7*E$22*$B$8*$B$9)*Inputs!$B$19)</f>
        <v/>
      </c>
      <c r="F24" s="22">
        <f>F16-(($B$6*$B$7*F$22*$B$8*$B$9)*Inputs!$B$17*Inputs!$B$18)+(($B$6*$B$7*F$22*$B$8*$B$9)*Inputs!$B$19)</f>
        <v/>
      </c>
      <c r="G24" s="22">
        <f>G16-(($B$6*$B$7*G$22*$B$8*$B$9)*Inputs!$B$17*Inputs!$B$18)+(($B$6*$B$7*G$22*$B$8*$B$9)*Inputs!$B$19)</f>
        <v/>
      </c>
      <c r="H24" s="22">
        <f>H16-(($B$6*$B$7*H$22*$B$8*$B$9)*Inputs!$B$17*Inputs!$B$18)+(($B$6*$B$7*H$22*$B$8*$B$9)*Inputs!$B$19)</f>
        <v/>
      </c>
    </row>
    <row r="25">
      <c r="A25" s="26" t="n">
        <v>10</v>
      </c>
      <c r="B25" s="22">
        <f>B17-(($B$6*$B$7*B$22*$B$8*$B$9)*Inputs!$B$17*Inputs!$B$18)+(($B$6*$B$7*B$22*$B$8*$B$9)*Inputs!$B$19)</f>
        <v/>
      </c>
      <c r="C25" s="22">
        <f>C17-(($B$6*$B$7*C$22*$B$8*$B$9)*Inputs!$B$17*Inputs!$B$18)+(($B$6*$B$7*C$22*$B$8*$B$9)*Inputs!$B$19)</f>
        <v/>
      </c>
      <c r="D25" s="22">
        <f>D17-(($B$6*$B$7*D$22*$B$8*$B$9)*Inputs!$B$17*Inputs!$B$18)+(($B$6*$B$7*D$22*$B$8*$B$9)*Inputs!$B$19)</f>
        <v/>
      </c>
      <c r="E25" s="22">
        <f>E17-(($B$6*$B$7*E$22*$B$8*$B$9)*Inputs!$B$17*Inputs!$B$18)+(($B$6*$B$7*E$22*$B$8*$B$9)*Inputs!$B$19)</f>
        <v/>
      </c>
      <c r="F25" s="22">
        <f>F17-(($B$6*$B$7*F$22*$B$8*$B$9)*Inputs!$B$17*Inputs!$B$18)+(($B$6*$B$7*F$22*$B$8*$B$9)*Inputs!$B$19)</f>
        <v/>
      </c>
      <c r="G25" s="22">
        <f>G17-(($B$6*$B$7*G$22*$B$8*$B$9)*Inputs!$B$17*Inputs!$B$18)+(($B$6*$B$7*G$22*$B$8*$B$9)*Inputs!$B$19)</f>
        <v/>
      </c>
      <c r="H25" s="22">
        <f>H17-(($B$6*$B$7*H$22*$B$8*$B$9)*Inputs!$B$17*Inputs!$B$18)+(($B$6*$B$7*H$22*$B$8*$B$9)*Inputs!$B$19)</f>
        <v/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2026-06-25T08:16:46Z</dcterms:created>
  <dcterms:modified xsi:type="dcterms:W3CDTF">2026-06-25T08:16:46Z</dcterms:modified>
</cp:coreProperties>
</file>